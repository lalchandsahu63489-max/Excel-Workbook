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ul\OneDrive\Data Analyst\Excel\"/>
    </mc:Choice>
  </mc:AlternateContent>
  <xr:revisionPtr revIDLastSave="0" documentId="13_ncr:1_{8B40D80D-DE6A-44A7-97DC-49B5078C5FDC}" xr6:coauthVersionLast="47" xr6:coauthVersionMax="47" xr10:uidLastSave="{00000000-0000-0000-0000-000000000000}"/>
  <bookViews>
    <workbookView xWindow="-110" yWindow="-110" windowWidth="19420" windowHeight="11020" firstSheet="2" activeTab="6" xr2:uid="{00000000-000D-0000-FFFF-FFFF00000000}"/>
  </bookViews>
  <sheets>
    <sheet name="IF_Function" sheetId="1" r:id="rId1"/>
    <sheet name="Nested_IF" sheetId="3" r:id="rId2"/>
    <sheet name="IF_AND_OR" sheetId="2" r:id="rId3"/>
    <sheet name="IFS_Function" sheetId="4" r:id="rId4"/>
    <sheet name="IFERROR" sheetId="5" r:id="rId5"/>
    <sheet name="Practice 1" sheetId="6" r:id="rId6"/>
    <sheet name="Practice 2" sheetId="7" r:id="rId7"/>
    <sheet name="Practice 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 a="1"/>
  <c r="H4" i="6" a="1"/>
  <c r="H5" i="6" a="1"/>
  <c r="H6" i="6" a="1"/>
  <c r="H7" i="6" a="1"/>
  <c r="H8" i="6" a="1"/>
  <c r="H9" i="6" a="1"/>
  <c r="H10" i="6" a="1"/>
  <c r="H11" i="6" a="1"/>
  <c r="H2" i="6" a="1"/>
  <c r="G3" i="6"/>
  <c r="G4" i="6"/>
  <c r="G5" i="6"/>
  <c r="G6" i="6"/>
  <c r="G7" i="6"/>
  <c r="G8" i="6"/>
  <c r="G9" i="6"/>
  <c r="G10" i="6"/>
  <c r="G11" i="6"/>
  <c r="G2" i="6"/>
  <c r="E3" i="5" a="1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2" i="5"/>
  <c r="C3" i="4" a="1"/>
  <c r="C4" i="4" a="1"/>
  <c r="C5" i="4" a="1"/>
  <c r="C6" i="4" a="1"/>
  <c r="C7" i="4" a="1"/>
  <c r="C8" i="4" a="1"/>
  <c r="C9" i="4" a="1"/>
  <c r="C10" i="4" a="1"/>
  <c r="C11" i="4" a="1"/>
  <c r="C12" i="4" a="1"/>
  <c r="C13" i="4" a="1"/>
  <c r="C14" i="4" a="1"/>
  <c r="C15" i="4" a="1"/>
  <c r="C16" i="4" a="1"/>
  <c r="C17" i="4" a="1"/>
  <c r="C18" i="4" a="1"/>
  <c r="C19" i="4" a="1"/>
  <c r="C20" i="4" a="1"/>
  <c r="C21" i="4" a="1"/>
  <c r="C22" i="4" a="1"/>
  <c r="C23" i="4" a="1"/>
  <c r="C24" i="4" a="1"/>
  <c r="C25" i="4" a="1"/>
  <c r="C26" i="4" a="1"/>
  <c r="C27" i="4" a="1"/>
  <c r="C28" i="4" a="1"/>
  <c r="C29" i="4" a="1"/>
  <c r="C30" i="4" a="1"/>
  <c r="C31" i="4" a="1"/>
  <c r="C32" i="4" a="1"/>
  <c r="C33" i="4" a="1"/>
  <c r="C34" i="4" a="1"/>
  <c r="C35" i="4" a="1"/>
  <c r="C36" i="4" a="1"/>
  <c r="C37" i="4" a="1"/>
  <c r="C38" i="4" a="1"/>
  <c r="C39" i="4" a="1"/>
  <c r="C40" i="4" a="1"/>
  <c r="C41" i="4" a="1"/>
  <c r="C42" i="4" a="1"/>
  <c r="C43" i="4" a="1"/>
  <c r="C44" i="4" a="1"/>
  <c r="C45" i="4" a="1"/>
  <c r="C46" i="4" a="1"/>
  <c r="C47" i="4" a="1"/>
  <c r="C48" i="4" a="1"/>
  <c r="C49" i="4" a="1"/>
  <c r="C50" i="4" a="1"/>
  <c r="C51" i="4" a="1"/>
  <c r="C52" i="4" a="1"/>
  <c r="C53" i="4" a="1"/>
  <c r="C54" i="4" a="1"/>
  <c r="C55" i="4" a="1"/>
  <c r="C56" i="4" a="1"/>
  <c r="C57" i="4" a="1"/>
  <c r="C58" i="4" a="1"/>
  <c r="C59" i="4" a="1"/>
  <c r="C60" i="4" a="1"/>
  <c r="C61" i="4" a="1"/>
  <c r="C62" i="4" a="1"/>
  <c r="C63" i="4" a="1"/>
  <c r="C64" i="4" a="1"/>
  <c r="C65" i="4" a="1"/>
  <c r="C66" i="4" a="1"/>
  <c r="C67" i="4" a="1"/>
  <c r="C68" i="4" a="1"/>
  <c r="C69" i="4" a="1"/>
  <c r="C70" i="4" a="1"/>
  <c r="C71" i="4" a="1"/>
  <c r="C72" i="4" a="1"/>
  <c r="C73" i="4" a="1"/>
  <c r="C74" i="4" a="1"/>
  <c r="C75" i="4" a="1"/>
  <c r="C76" i="4" a="1"/>
  <c r="C77" i="4" a="1"/>
  <c r="C78" i="4" a="1"/>
  <c r="C79" i="4" a="1"/>
  <c r="C80" i="4" a="1"/>
  <c r="C81" i="4" a="1"/>
  <c r="C82" i="4" a="1"/>
  <c r="C83" i="4" a="1"/>
  <c r="C84" i="4" a="1"/>
  <c r="C85" i="4" a="1"/>
  <c r="C86" i="4" a="1"/>
  <c r="C87" i="4" a="1"/>
  <c r="C88" i="4" a="1"/>
  <c r="C89" i="4" a="1"/>
  <c r="C90" i="4" a="1"/>
  <c r="C91" i="4" a="1"/>
  <c r="C92" i="4" a="1"/>
  <c r="C93" i="4" a="1"/>
  <c r="C94" i="4" a="1"/>
  <c r="C95" i="4" a="1"/>
  <c r="C96" i="4" a="1"/>
  <c r="C97" i="4" a="1"/>
  <c r="C98" i="4" a="1"/>
  <c r="C99" i="4" a="1"/>
  <c r="C100" i="4" a="1"/>
  <c r="C101" i="4" a="1"/>
  <c r="C2" i="4" a="1"/>
  <c r="B3" i="4" a="1"/>
  <c r="B4" i="4" a="1"/>
  <c r="B5" i="4" a="1"/>
  <c r="B6" i="4" a="1"/>
  <c r="B7" i="4" a="1"/>
  <c r="B8" i="4" a="1"/>
  <c r="B9" i="4" a="1"/>
  <c r="B10" i="4" a="1"/>
  <c r="B11" i="4" a="1"/>
  <c r="B12" i="4" a="1"/>
  <c r="B13" i="4" a="1"/>
  <c r="B14" i="4" a="1"/>
  <c r="B15" i="4" a="1"/>
  <c r="B16" i="4" a="1"/>
  <c r="B17" i="4" a="1"/>
  <c r="B18" i="4" a="1"/>
  <c r="B19" i="4" a="1"/>
  <c r="B20" i="4" a="1"/>
  <c r="B21" i="4" a="1"/>
  <c r="B22" i="4" a="1"/>
  <c r="B23" i="4" a="1"/>
  <c r="B24" i="4" a="1"/>
  <c r="B25" i="4" a="1"/>
  <c r="B26" i="4" a="1"/>
  <c r="B27" i="4" a="1"/>
  <c r="B28" i="4" a="1"/>
  <c r="B29" i="4" a="1"/>
  <c r="B30" i="4" a="1"/>
  <c r="B31" i="4" a="1"/>
  <c r="B32" i="4" a="1"/>
  <c r="B33" i="4" a="1"/>
  <c r="B34" i="4" a="1"/>
  <c r="B35" i="4" a="1"/>
  <c r="B36" i="4" a="1"/>
  <c r="B37" i="4" a="1"/>
  <c r="B38" i="4" a="1"/>
  <c r="B39" i="4" a="1"/>
  <c r="B40" i="4" a="1"/>
  <c r="B41" i="4" a="1"/>
  <c r="B42" i="4" a="1"/>
  <c r="B43" i="4" a="1"/>
  <c r="B44" i="4" a="1"/>
  <c r="B45" i="4" a="1"/>
  <c r="B46" i="4" a="1"/>
  <c r="B47" i="4" a="1"/>
  <c r="B48" i="4" a="1"/>
  <c r="B49" i="4" a="1"/>
  <c r="B50" i="4" a="1"/>
  <c r="B51" i="4" a="1"/>
  <c r="B52" i="4" a="1"/>
  <c r="B53" i="4" a="1"/>
  <c r="B54" i="4" a="1"/>
  <c r="B55" i="4" a="1"/>
  <c r="B56" i="4" a="1"/>
  <c r="B57" i="4" a="1"/>
  <c r="B58" i="4" a="1"/>
  <c r="B59" i="4" a="1"/>
  <c r="B60" i="4" a="1"/>
  <c r="B61" i="4" a="1"/>
  <c r="B62" i="4" a="1"/>
  <c r="B63" i="4" a="1"/>
  <c r="B64" i="4" a="1"/>
  <c r="B65" i="4" a="1"/>
  <c r="B66" i="4" a="1"/>
  <c r="B67" i="4" a="1"/>
  <c r="B68" i="4" a="1"/>
  <c r="B69" i="4" a="1"/>
  <c r="B70" i="4" a="1"/>
  <c r="B71" i="4" a="1"/>
  <c r="B72" i="4" a="1"/>
  <c r="B73" i="4" a="1"/>
  <c r="B74" i="4" a="1"/>
  <c r="B75" i="4" a="1"/>
  <c r="B76" i="4" a="1"/>
  <c r="B77" i="4" a="1"/>
  <c r="B78" i="4" a="1"/>
  <c r="B79" i="4" a="1"/>
  <c r="B80" i="4" a="1"/>
  <c r="B81" i="4" a="1"/>
  <c r="B82" i="4" a="1"/>
  <c r="B83" i="4" a="1"/>
  <c r="B84" i="4" a="1"/>
  <c r="B85" i="4" a="1"/>
  <c r="B86" i="4" a="1"/>
  <c r="B87" i="4" a="1"/>
  <c r="B88" i="4" a="1"/>
  <c r="B89" i="4" a="1"/>
  <c r="B90" i="4" a="1"/>
  <c r="B91" i="4" a="1"/>
  <c r="B92" i="4" a="1"/>
  <c r="B93" i="4" a="1"/>
  <c r="B94" i="4" a="1"/>
  <c r="B95" i="4" a="1"/>
  <c r="B96" i="4" a="1"/>
  <c r="B97" i="4" a="1"/>
  <c r="B98" i="4" a="1"/>
  <c r="B99" i="4" a="1"/>
  <c r="B100" i="4" a="1"/>
  <c r="B101" i="4" a="1"/>
  <c r="B2" i="4" a="1"/>
  <c r="N2" i="2"/>
  <c r="O3" i="2"/>
  <c r="O4" i="2"/>
  <c r="O5" i="2"/>
  <c r="O6" i="2"/>
  <c r="O7" i="2"/>
  <c r="O8" i="2"/>
  <c r="O9" i="2"/>
  <c r="O10" i="2"/>
  <c r="O11" i="2"/>
  <c r="O2" i="2"/>
  <c r="N3" i="2"/>
  <c r="N4" i="2"/>
  <c r="N5" i="2"/>
  <c r="N6" i="2"/>
  <c r="N7" i="2"/>
  <c r="N8" i="2"/>
  <c r="N9" i="2"/>
  <c r="N10" i="2"/>
  <c r="N1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<sst xmlns="http://schemas.openxmlformats.org/spreadsheetml/2006/main" count="9382" uniqueCount="2444">
  <si>
    <t>Score</t>
  </si>
  <si>
    <t>Maths</t>
  </si>
  <si>
    <t>Science</t>
  </si>
  <si>
    <t>Marks</t>
  </si>
  <si>
    <t>Sales</t>
  </si>
  <si>
    <t>Dividend</t>
  </si>
  <si>
    <t>Divisor</t>
  </si>
  <si>
    <t>Formula Hint</t>
  </si>
  <si>
    <t>EID</t>
  </si>
  <si>
    <t>ENAME</t>
  </si>
  <si>
    <t xml:space="preserve">Department </t>
  </si>
  <si>
    <t>EAGE</t>
  </si>
  <si>
    <t>ESALARY</t>
  </si>
  <si>
    <t>ESALES</t>
  </si>
  <si>
    <t>Incentive Calculations</t>
  </si>
  <si>
    <t>emp001</t>
  </si>
  <si>
    <t>Lalchand Sahu</t>
  </si>
  <si>
    <t>Finance</t>
  </si>
  <si>
    <t>emp002</t>
  </si>
  <si>
    <t>Pramod Yadav</t>
  </si>
  <si>
    <t>Operations</t>
  </si>
  <si>
    <t>Target Conditions</t>
  </si>
  <si>
    <t>emp003</t>
  </si>
  <si>
    <t>Dharmendra Sahu</t>
  </si>
  <si>
    <t>&gt;45000</t>
  </si>
  <si>
    <t>Complete</t>
  </si>
  <si>
    <t>emp004</t>
  </si>
  <si>
    <t xml:space="preserve">Pankaj </t>
  </si>
  <si>
    <t>&lt;45000</t>
  </si>
  <si>
    <t>Incomplete</t>
  </si>
  <si>
    <t>emp005</t>
  </si>
  <si>
    <t>Govinda Sing</t>
  </si>
  <si>
    <t>emp006</t>
  </si>
  <si>
    <t xml:space="preserve">Nikhil </t>
  </si>
  <si>
    <t>IT</t>
  </si>
  <si>
    <t>emp007</t>
  </si>
  <si>
    <t>Chhaili Sahu</t>
  </si>
  <si>
    <t>emp008</t>
  </si>
  <si>
    <t>Samay Raina</t>
  </si>
  <si>
    <t>Percent</t>
  </si>
  <si>
    <t>emp009</t>
  </si>
  <si>
    <t>Ranvir alala</t>
  </si>
  <si>
    <t>&gt;50000</t>
  </si>
  <si>
    <t>emp010</t>
  </si>
  <si>
    <t>Sabhali lala</t>
  </si>
  <si>
    <t>&gt;40000</t>
  </si>
  <si>
    <t>&lt;40000</t>
  </si>
  <si>
    <t>BOTH</t>
  </si>
  <si>
    <t>Pramotion</t>
  </si>
  <si>
    <t>&gt;5</t>
  </si>
  <si>
    <t>Yes</t>
  </si>
  <si>
    <t>ANY ONE</t>
  </si>
  <si>
    <t>📘 Sheet: IF_Function</t>
  </si>
  <si>
    <r>
      <t xml:space="preserve">🟦 </t>
    </r>
    <r>
      <rPr>
        <b/>
        <sz val="11"/>
        <color theme="1"/>
        <rFont val="Calibri"/>
        <family val="2"/>
        <scheme val="minor"/>
      </rPr>
      <t>Questions:</t>
    </r>
  </si>
  <si>
    <t>1. अगर Score 40 या उससे अधिक है तो "Pass" वरना "Fail" दिखाओ।</t>
  </si>
  <si>
    <t>2. अगर Score 90 से ज्यादा है तो "Excellent", नहीं तो "Try Again"।</t>
  </si>
  <si>
    <t>3. अगर Score 0 है तो "Absent", अन्यथा "Present"।</t>
  </si>
  <si>
    <t>📘 Sheet: IF_AND_OR</t>
  </si>
  <si>
    <t>1. अगर Maths और Science दोनों &gt;= 50 हैं तो "Pass", वरना "Fail"।</t>
  </si>
  <si>
    <t>2. अगर Maths ≥ 60 या Science ≥ 60 है, तो "Good", अन्यथा "Improve"।</t>
  </si>
  <si>
    <t>3. अगर Maths &gt; 80 और Science &gt; 80 है, तो "Scholarship Eligible", वरना "Not Eligible"।</t>
  </si>
  <si>
    <t>📘 Sheet: Nested_IF</t>
  </si>
  <si>
    <t>1. अगर Marks ≥ 75, तो "Distinction"; अगर ≥ 50, तो "Pass"; अन्यथा "Fail"।</t>
  </si>
  <si>
    <t>2. अगर Marks = 100, तो "Topper", अगर ≥ 90 तो "Outstanding", अगर ≥ 75 तो "Good", अन्यथा "Needs Improvement"।</t>
  </si>
  <si>
    <t>3. अगर Marks &lt; 35, तो "Fail", ≥ 35 और &lt; 50, तो "Borderline", अन्यथा "Pass"।</t>
  </si>
  <si>
    <t>📘 Sheet: IFS_Function</t>
  </si>
  <si>
    <t>1. Sales के आधार पर category दो:</t>
  </si>
  <si>
    <t>≥ 9000 → "Excellent"</t>
  </si>
  <si>
    <t>≥ 7000 → "Very Good"</t>
  </si>
  <si>
    <t>≥ 5000 → "Good"</t>
  </si>
  <si>
    <t>&lt; 5000 → "Poor"</t>
  </si>
  <si>
    <t>2. एक और तरीके से label करो:</t>
  </si>
  <si>
    <t>≥ 8000 → "Achiever"</t>
  </si>
  <si>
    <t>≥ 5000 → "Performer"</t>
  </si>
  <si>
    <t>&lt; 5000 → "Underperformer"</t>
  </si>
  <si>
    <t>📘 Sheet: IFERROR</t>
  </si>
  <si>
    <t>1. Dividend / Divisor का result निकालो, लेकिन अगर Divisor 0 है तो "Divide Error" दिखाओ।</t>
  </si>
  <si>
    <r>
      <t xml:space="preserve">2. Formula: </t>
    </r>
    <r>
      <rPr>
        <sz val="10"/>
        <color theme="1"/>
        <rFont val="Arial Unicode MS"/>
      </rPr>
      <t>=IFERROR(A2/B2,"Invalid")</t>
    </r>
    <r>
      <rPr>
        <sz val="11"/>
        <color theme="1"/>
        <rFont val="Calibri"/>
        <family val="2"/>
        <scheme val="minor"/>
      </rPr>
      <t xml:space="preserve"> – इसे नीचे तक apply करो।</t>
    </r>
  </si>
  <si>
    <r>
      <t xml:space="preserve">3. Bonus: COUNT करो कितने rows में error आया (Hint: </t>
    </r>
    <r>
      <rPr>
        <sz val="10"/>
        <color theme="1"/>
        <rFont val="Arial Unicode MS"/>
      </rPr>
      <t>=IFERROR()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ISERROR()</t>
    </r>
    <r>
      <rPr>
        <sz val="11"/>
        <color theme="1"/>
        <rFont val="Calibri"/>
        <family val="2"/>
        <scheme val="minor"/>
      </rPr>
      <t>)</t>
    </r>
  </si>
  <si>
    <t>1st Condition</t>
  </si>
  <si>
    <t>2nd Condition</t>
  </si>
  <si>
    <t>3rd Condition</t>
  </si>
  <si>
    <t>Emp_ID</t>
  </si>
  <si>
    <t>Employee_Name</t>
  </si>
  <si>
    <t>Region</t>
  </si>
  <si>
    <t>Sales_Target</t>
  </si>
  <si>
    <t>Actual_Sales</t>
  </si>
  <si>
    <t>Attendance_Days</t>
  </si>
  <si>
    <t>Customer_Rating</t>
  </si>
  <si>
    <t>Years_of_Experience</t>
  </si>
  <si>
    <t>Disciplinary_Action</t>
  </si>
  <si>
    <t>Kavya Gupta</t>
  </si>
  <si>
    <t>East</t>
  </si>
  <si>
    <t>No</t>
  </si>
  <si>
    <t>Rahul Mehta</t>
  </si>
  <si>
    <t>South</t>
  </si>
  <si>
    <t>1. Basic IF Function:</t>
  </si>
  <si>
    <t>Neha Mehta</t>
  </si>
  <si>
    <t>Neha Verma</t>
  </si>
  <si>
    <r>
      <t>Task:</t>
    </r>
    <r>
      <rPr>
        <sz val="11"/>
        <color theme="1"/>
        <rFont val="Calibri"/>
        <family val="2"/>
        <scheme val="minor"/>
      </rPr>
      <t xml:space="preserve"> Ek naya column banayein </t>
    </r>
    <r>
      <rPr>
        <i/>
        <sz val="11"/>
        <color theme="1"/>
        <rFont val="Calibri"/>
        <family val="2"/>
        <scheme val="minor"/>
      </rPr>
      <t>"Target Status"</t>
    </r>
    <r>
      <rPr>
        <sz val="11"/>
        <color theme="1"/>
        <rFont val="Calibri"/>
        <family val="2"/>
        <scheme val="minor"/>
      </rPr>
      <t xml:space="preserve">. Agar </t>
    </r>
    <r>
      <rPr>
        <sz val="10"/>
        <color theme="1"/>
        <rFont val="Arial Unicode MS"/>
      </rPr>
      <t>Actual_Sales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Sales_Target</t>
    </r>
    <r>
      <rPr>
        <sz val="11"/>
        <color theme="1"/>
        <rFont val="Calibri"/>
        <family val="2"/>
        <scheme val="minor"/>
      </rPr>
      <t xml:space="preserve"> se zyada ya barabar hai, toh </t>
    </r>
    <r>
      <rPr>
        <b/>
        <sz val="11"/>
        <color theme="1"/>
        <rFont val="Calibri"/>
        <family val="2"/>
        <scheme val="minor"/>
      </rPr>
      <t>"Achieved"</t>
    </r>
    <r>
      <rPr>
        <sz val="11"/>
        <color theme="1"/>
        <rFont val="Calibri"/>
        <family val="2"/>
        <scheme val="minor"/>
      </rPr>
      <t xml:space="preserve"> likhein, warna </t>
    </r>
    <r>
      <rPr>
        <b/>
        <sz val="11"/>
        <color theme="1"/>
        <rFont val="Calibri"/>
        <family val="2"/>
        <scheme val="minor"/>
      </rPr>
      <t>"Missed"</t>
    </r>
    <r>
      <rPr>
        <sz val="11"/>
        <color theme="1"/>
        <rFont val="Calibri"/>
        <family val="2"/>
        <scheme val="minor"/>
      </rPr>
      <t xml:space="preserve"> likhein.</t>
    </r>
  </si>
  <si>
    <t>Ishita Reddy</t>
  </si>
  <si>
    <t>Zara Bose</t>
  </si>
  <si>
    <r>
      <t>Hint: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=IF(E2&gt;=D2, "Achieved", "Missed")</t>
    </r>
  </si>
  <si>
    <t>Neha Reddy</t>
  </si>
  <si>
    <t>Pooja Reddy</t>
  </si>
  <si>
    <t>2. AND Function (Multiple Conditions):</t>
  </si>
  <si>
    <t>Rohan Joshi</t>
  </si>
  <si>
    <t>North</t>
  </si>
  <si>
    <t>Priya Singh</t>
  </si>
  <si>
    <r>
      <t>Task:</t>
    </r>
    <r>
      <rPr>
        <sz val="11"/>
        <color theme="1"/>
        <rFont val="Calibri"/>
        <family val="2"/>
        <scheme val="minor"/>
      </rPr>
      <t xml:space="preserve"> Ek column banayein </t>
    </r>
    <r>
      <rPr>
        <i/>
        <sz val="11"/>
        <color theme="1"/>
        <rFont val="Calibri"/>
        <family val="2"/>
        <scheme val="minor"/>
      </rPr>
      <t>"Bonus Eligibility"</t>
    </r>
    <r>
      <rPr>
        <sz val="11"/>
        <color theme="1"/>
        <rFont val="Calibri"/>
        <family val="2"/>
        <scheme val="minor"/>
      </rPr>
      <t xml:space="preserve">. Employee ko bonus tabhi milega jab uski </t>
    </r>
    <r>
      <rPr>
        <sz val="10"/>
        <color theme="1"/>
        <rFont val="Arial Unicode MS"/>
      </rPr>
      <t>Actual_Sales</t>
    </r>
    <r>
      <rPr>
        <sz val="11"/>
        <color theme="1"/>
        <rFont val="Calibri"/>
        <family val="2"/>
        <scheme val="minor"/>
      </rPr>
      <t xml:space="preserve"> &gt; 100,000 ho </t>
    </r>
    <r>
      <rPr>
        <b/>
        <sz val="11"/>
        <color theme="1"/>
        <rFont val="Calibri"/>
        <family val="2"/>
        <scheme val="minor"/>
      </rPr>
      <t>AUR (AND)</t>
    </r>
    <r>
      <rPr>
        <sz val="11"/>
        <color theme="1"/>
        <rFont val="Calibri"/>
        <family val="2"/>
        <scheme val="minor"/>
      </rPr>
      <t xml:space="preserve"> uske </t>
    </r>
    <r>
      <rPr>
        <sz val="10"/>
        <color theme="1"/>
        <rFont val="Arial Unicode MS"/>
      </rPr>
      <t>Attendance_Days</t>
    </r>
    <r>
      <rPr>
        <sz val="11"/>
        <color theme="1"/>
        <rFont val="Calibri"/>
        <family val="2"/>
        <scheme val="minor"/>
      </rPr>
      <t xml:space="preserve"> &gt;= 28 hon.</t>
    </r>
  </si>
  <si>
    <t>Ishita Chawla</t>
  </si>
  <si>
    <t>West</t>
  </si>
  <si>
    <r>
      <t>Hint: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=IF(AND(E2&gt;100000, F2&gt;=28), "Eligible", "Not Eligible")</t>
    </r>
  </si>
  <si>
    <t>Kabir Reddy</t>
  </si>
  <si>
    <t>Vihaan Bose</t>
  </si>
  <si>
    <t>3. OR Function:</t>
  </si>
  <si>
    <t>Arjun Joshi</t>
  </si>
  <si>
    <t>Diya Sharma</t>
  </si>
  <si>
    <r>
      <t>Task:</t>
    </r>
    <r>
      <rPr>
        <sz val="11"/>
        <color theme="1"/>
        <rFont val="Calibri"/>
        <family val="2"/>
        <scheme val="minor"/>
      </rPr>
      <t xml:space="preserve"> Ek column banayein </t>
    </r>
    <r>
      <rPr>
        <i/>
        <sz val="11"/>
        <color theme="1"/>
        <rFont val="Calibri"/>
        <family val="2"/>
        <scheme val="minor"/>
      </rPr>
      <t>"Special Training"</t>
    </r>
    <r>
      <rPr>
        <sz val="11"/>
        <color theme="1"/>
        <rFont val="Calibri"/>
        <family val="2"/>
        <scheme val="minor"/>
      </rPr>
      <t xml:space="preserve">. Training unko milegi jinka 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 xml:space="preserve"> "South" ho </t>
    </r>
    <r>
      <rPr>
        <b/>
        <sz val="11"/>
        <color theme="1"/>
        <rFont val="Calibri"/>
        <family val="2"/>
        <scheme val="minor"/>
      </rPr>
      <t>YA (OR)</t>
    </r>
    <r>
      <rPr>
        <sz val="11"/>
        <color theme="1"/>
        <rFont val="Calibri"/>
        <family val="2"/>
        <scheme val="minor"/>
      </rPr>
      <t xml:space="preserve"> "East" ho.</t>
    </r>
  </si>
  <si>
    <t>Rohan Das</t>
  </si>
  <si>
    <t>Rohan Kumar</t>
  </si>
  <si>
    <r>
      <t>Hint: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=IF(OR(C2="South", C2="East"), "Yes", "No")</t>
    </r>
  </si>
  <si>
    <t>Siddharth Reddy</t>
  </si>
  <si>
    <t>Rahul Kumar</t>
  </si>
  <si>
    <t>4. NOT Function:</t>
  </si>
  <si>
    <t>Aarav Bose</t>
  </si>
  <si>
    <t>Ishita Verma</t>
  </si>
  <si>
    <r>
      <t>Task:</t>
    </r>
    <r>
      <rPr>
        <sz val="11"/>
        <color theme="1"/>
        <rFont val="Calibri"/>
        <family val="2"/>
        <scheme val="minor"/>
      </rPr>
      <t xml:space="preserve"> Employee promotion ke liye tabhi consider hoga jab uspe koi disciplinary action </t>
    </r>
    <r>
      <rPr>
        <b/>
        <sz val="11"/>
        <color theme="1"/>
        <rFont val="Calibri"/>
        <family val="2"/>
        <scheme val="minor"/>
      </rPr>
      <t>NAHI</t>
    </r>
    <r>
      <rPr>
        <sz val="11"/>
        <color theme="1"/>
        <rFont val="Calibri"/>
        <family val="2"/>
        <scheme val="minor"/>
      </rPr>
      <t xml:space="preserve"> hua ho.</t>
    </r>
  </si>
  <si>
    <t>Priya Das</t>
  </si>
  <si>
    <r>
      <t>Hint: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=IF(NOT(I2="Yes"), "Consider", "Reject")</t>
    </r>
  </si>
  <si>
    <t>Zara Singh</t>
  </si>
  <si>
    <t>Pooja Mehta</t>
  </si>
  <si>
    <t>5. Nested IF ya IFS Function (Multiple Grades):</t>
  </si>
  <si>
    <t>Zara Joshi</t>
  </si>
  <si>
    <r>
      <t>Task: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Customer_Rating</t>
    </r>
    <r>
      <rPr>
        <sz val="11"/>
        <color theme="1"/>
        <rFont val="Calibri"/>
        <family val="2"/>
        <scheme val="minor"/>
      </rPr>
      <t xml:space="preserve"> ke basis par </t>
    </r>
    <r>
      <rPr>
        <i/>
        <sz val="11"/>
        <color theme="1"/>
        <rFont val="Calibri"/>
        <family val="2"/>
        <scheme val="minor"/>
      </rPr>
      <t>"Performance Grade"</t>
    </r>
    <r>
      <rPr>
        <sz val="11"/>
        <color theme="1"/>
        <rFont val="Calibri"/>
        <family val="2"/>
        <scheme val="minor"/>
      </rPr>
      <t xml:space="preserve"> dein.</t>
    </r>
  </si>
  <si>
    <t>Rahul Singh</t>
  </si>
  <si>
    <t>Anya Mehta</t>
  </si>
  <si>
    <t>Rating &gt;= 4.5 ➔ "Excellent"</t>
  </si>
  <si>
    <t>Arjun Verma</t>
  </si>
  <si>
    <t>Zara Sharma</t>
  </si>
  <si>
    <t>Rating &gt;= 3.5 ➔ "Good"</t>
  </si>
  <si>
    <t>Kavya Patel</t>
  </si>
  <si>
    <t>Sonia Chawla</t>
  </si>
  <si>
    <t>Rating &gt;= 2.5 ➔ "Average"</t>
  </si>
  <si>
    <t>Ananya Chawla</t>
  </si>
  <si>
    <t>Kabir Sharma</t>
  </si>
  <si>
    <t>Rating &lt; 2.5 ➔ "Poor"</t>
  </si>
  <si>
    <t>Amit Gupta</t>
  </si>
  <si>
    <t>Kabir Patel</t>
  </si>
  <si>
    <t>6. IFERROR Function:</t>
  </si>
  <si>
    <t>Zara Mehta</t>
  </si>
  <si>
    <t>Vihaan Chawla</t>
  </si>
  <si>
    <r>
      <t>Task:</t>
    </r>
    <r>
      <rPr>
        <sz val="11"/>
        <color theme="1"/>
        <rFont val="Calibri"/>
        <family val="2"/>
        <scheme val="minor"/>
      </rPr>
      <t xml:space="preserve"> Ek column banayein </t>
    </r>
    <r>
      <rPr>
        <i/>
        <sz val="11"/>
        <color theme="1"/>
        <rFont val="Calibri"/>
        <family val="2"/>
        <scheme val="minor"/>
      </rPr>
      <t>"Achievement %"</t>
    </r>
    <r>
      <rPr>
        <sz val="11"/>
        <color theme="1"/>
        <rFont val="Calibri"/>
        <family val="2"/>
        <scheme val="minor"/>
      </rPr>
      <t xml:space="preserve"> jisme aap </t>
    </r>
    <r>
      <rPr>
        <sz val="10"/>
        <color theme="1"/>
        <rFont val="Arial Unicode MS"/>
      </rPr>
      <t>Actual_Sales</t>
    </r>
    <r>
      <rPr>
        <sz val="11"/>
        <color theme="1"/>
        <rFont val="Calibri"/>
        <family val="2"/>
        <scheme val="minor"/>
      </rPr>
      <t xml:space="preserve"> ko </t>
    </r>
    <r>
      <rPr>
        <sz val="10"/>
        <color theme="1"/>
        <rFont val="Arial Unicode MS"/>
      </rPr>
      <t>Sales_Target</t>
    </r>
    <r>
      <rPr>
        <sz val="11"/>
        <color theme="1"/>
        <rFont val="Calibri"/>
        <family val="2"/>
        <scheme val="minor"/>
      </rPr>
      <t xml:space="preserve"> se divide karein (</t>
    </r>
    <r>
      <rPr>
        <sz val="10"/>
        <color theme="1"/>
        <rFont val="Arial Unicode MS"/>
      </rPr>
      <t>=E2/D2</t>
    </r>
    <r>
      <rPr>
        <sz val="11"/>
        <color theme="1"/>
        <rFont val="Calibri"/>
        <family val="2"/>
        <scheme val="minor"/>
      </rPr>
      <t xml:space="preserve">). </t>
    </r>
    <r>
      <rPr>
        <i/>
        <sz val="11"/>
        <color theme="1"/>
        <rFont val="Calibri"/>
        <family val="2"/>
        <scheme val="minor"/>
      </rPr>
      <t xml:space="preserve">Dhyan dein: Maine kuch rows me Sales_Target jaanbhoojh kar </t>
    </r>
    <r>
      <rPr>
        <i/>
        <sz val="10"/>
        <color theme="1"/>
        <rFont val="Arial Unicode MS"/>
      </rPr>
      <t>0</t>
    </r>
    <r>
      <rPr>
        <i/>
        <sz val="11"/>
        <color theme="1"/>
        <rFont val="Calibri"/>
        <family val="2"/>
        <scheme val="minor"/>
      </rPr>
      <t xml:space="preserve"> rakha hai taaki </t>
    </r>
    <r>
      <rPr>
        <i/>
        <sz val="10"/>
        <color theme="1"/>
        <rFont val="Arial Unicode MS"/>
      </rPr>
      <t>#DIV/0!</t>
    </r>
    <r>
      <rPr>
        <i/>
        <sz val="11"/>
        <color theme="1"/>
        <rFont val="Calibri"/>
        <family val="2"/>
        <scheme val="minor"/>
      </rPr>
      <t xml:space="preserve"> error aaye.</t>
    </r>
    <r>
      <rPr>
        <sz val="11"/>
        <color theme="1"/>
        <rFont val="Calibri"/>
        <family val="2"/>
        <scheme val="minor"/>
      </rPr>
      <t xml:space="preserve"> Ab is error ko hatane ke liye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 xml:space="preserve"> ka use karein aur error ki jagah "No Target Assigned" dikhayein.</t>
    </r>
  </si>
  <si>
    <t>Siddharth Verma</t>
  </si>
  <si>
    <t>Sai Kumar</t>
  </si>
  <si>
    <r>
      <t>Hint: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=IFERROR(E2/D2, "No Target Assigned")</t>
    </r>
  </si>
  <si>
    <t>Rahul Bose</t>
  </si>
  <si>
    <t>Amit Das</t>
  </si>
  <si>
    <t>Amit Patel</t>
  </si>
  <si>
    <t>Rohan Gupta</t>
  </si>
  <si>
    <t>Zara Kumar</t>
  </si>
  <si>
    <t>Ishita Singh</t>
  </si>
  <si>
    <t>Neha Singh</t>
  </si>
  <si>
    <t>Amit Reddy</t>
  </si>
  <si>
    <t>Ananya Bose</t>
  </si>
  <si>
    <t>Arjun Singh</t>
  </si>
  <si>
    <t>Kabir Bose</t>
  </si>
  <si>
    <t>Priya Bose</t>
  </si>
  <si>
    <t>Vihaan Gupta</t>
  </si>
  <si>
    <t>Aditya Gupta</t>
  </si>
  <si>
    <t>Sonia Verma</t>
  </si>
  <si>
    <t>Kavya Reddy</t>
  </si>
  <si>
    <t>Ishita Sharma</t>
  </si>
  <si>
    <t>Sonia Patel</t>
  </si>
  <si>
    <t>Aditya Das</t>
  </si>
  <si>
    <t>Neha Kumar</t>
  </si>
  <si>
    <t>Siddharth Gupta</t>
  </si>
  <si>
    <t>Diya Chawla</t>
  </si>
  <si>
    <t>Sai Joshi</t>
  </si>
  <si>
    <t>Sai Reddy</t>
  </si>
  <si>
    <t>Rohan Sharma</t>
  </si>
  <si>
    <t>Aarav Patel</t>
  </si>
  <si>
    <t>Aarav Joshi</t>
  </si>
  <si>
    <t>Siddharth Chawla</t>
  </si>
  <si>
    <t>Ananya Verma</t>
  </si>
  <si>
    <t>Priya Joshi</t>
  </si>
  <si>
    <t>Ishita Kumar</t>
  </si>
  <si>
    <t>Vihaan Singh</t>
  </si>
  <si>
    <t>Aditya Verma</t>
  </si>
  <si>
    <t>Ananya Joshi</t>
  </si>
  <si>
    <t>Aditya Reddy</t>
  </si>
  <si>
    <t>Aarav Verma</t>
  </si>
  <si>
    <t>Siddharth Joshi</t>
  </si>
  <si>
    <t>Vihaan Mehta</t>
  </si>
  <si>
    <t>Anya Kumar</t>
  </si>
  <si>
    <t>Kavya Verma</t>
  </si>
  <si>
    <t>Neha Joshi</t>
  </si>
  <si>
    <t>Diya Bose</t>
  </si>
  <si>
    <t>Priya Sharma</t>
  </si>
  <si>
    <t>Sai Chawla</t>
  </si>
  <si>
    <t>Sai Das</t>
  </si>
  <si>
    <t>Ananya Sharma</t>
  </si>
  <si>
    <t>Priya Mehta</t>
  </si>
  <si>
    <t>Anya Bose</t>
  </si>
  <si>
    <t>Neha Sharma</t>
  </si>
  <si>
    <t>Sai Singh</t>
  </si>
  <si>
    <t>Priya Kumar</t>
  </si>
  <si>
    <t>Sonia Gupta</t>
  </si>
  <si>
    <t>Aarav Das</t>
  </si>
  <si>
    <t>Neha Das</t>
  </si>
  <si>
    <t>Anya Patel</t>
  </si>
  <si>
    <t>Sonia Sharma</t>
  </si>
  <si>
    <t>Pooja Joshi</t>
  </si>
  <si>
    <t>Sai Verma</t>
  </si>
  <si>
    <t>Vihaan Verma</t>
  </si>
  <si>
    <t>Kavya Joshi</t>
  </si>
  <si>
    <t>Arjun Patel</t>
  </si>
  <si>
    <t>Arjun Chawla</t>
  </si>
  <si>
    <t>Sonia Reddy</t>
  </si>
  <si>
    <t>Rahul Verma</t>
  </si>
  <si>
    <t>Zara Reddy</t>
  </si>
  <si>
    <t>Siddharth Singh</t>
  </si>
  <si>
    <t>Diya Singh</t>
  </si>
  <si>
    <t>Zara Chawla</t>
  </si>
  <si>
    <t>Diya Das</t>
  </si>
  <si>
    <t>Amit Sharma</t>
  </si>
  <si>
    <t>Sai Mehta</t>
  </si>
  <si>
    <t>Aditya Sharma</t>
  </si>
  <si>
    <t>Pooja Singh</t>
  </si>
  <si>
    <t>Ishita Gupta</t>
  </si>
  <si>
    <t>Sai Gupta</t>
  </si>
  <si>
    <t>Kavya Sharma</t>
  </si>
  <si>
    <t>Rohan Mehta</t>
  </si>
  <si>
    <t>Anya Gupta</t>
  </si>
  <si>
    <t>Anya Verma</t>
  </si>
  <si>
    <t>Siddharth Mehta</t>
  </si>
  <si>
    <t>Aarav Singh</t>
  </si>
  <si>
    <t>Aarav Chawla</t>
  </si>
  <si>
    <t>Aditya Kumar</t>
  </si>
  <si>
    <t>Kavya Kumar</t>
  </si>
  <si>
    <t>Neha Patel</t>
  </si>
  <si>
    <t>Amit Kumar</t>
  </si>
  <si>
    <t>Sonia Mehta</t>
  </si>
  <si>
    <t>Sai Bose</t>
  </si>
  <si>
    <t>Ishita Das</t>
  </si>
  <si>
    <t>Kavya Mehta</t>
  </si>
  <si>
    <t>Neha Bose</t>
  </si>
  <si>
    <t>Ananya Kumar</t>
  </si>
  <si>
    <t>Aarav Gupta</t>
  </si>
  <si>
    <t>Rahul Das</t>
  </si>
  <si>
    <t>Arjun Bose</t>
  </si>
  <si>
    <t>Pooja Sharma</t>
  </si>
  <si>
    <t>Pooja Das</t>
  </si>
  <si>
    <t>Ananya Patel</t>
  </si>
  <si>
    <t>Rahul Joshi</t>
  </si>
  <si>
    <t>Amit Bose</t>
  </si>
  <si>
    <t>Kabir Das</t>
  </si>
  <si>
    <t>Kavya Singh</t>
  </si>
  <si>
    <t>Priya Gupta</t>
  </si>
  <si>
    <t>Neha Gupta</t>
  </si>
  <si>
    <t>Arjun Gupta</t>
  </si>
  <si>
    <t>Siddharth Sharma</t>
  </si>
  <si>
    <t>Priya Chawla</t>
  </si>
  <si>
    <t>Aditya Patel</t>
  </si>
  <si>
    <t>Vihaan Patel</t>
  </si>
  <si>
    <t>Kabir Verma</t>
  </si>
  <si>
    <t>Vihaan Kumar</t>
  </si>
  <si>
    <t>Sonia Kumar</t>
  </si>
  <si>
    <t>Aarav Kumar</t>
  </si>
  <si>
    <t>Vihaan Reddy</t>
  </si>
  <si>
    <t>Anya Joshi</t>
  </si>
  <si>
    <t>Aditya Chawla</t>
  </si>
  <si>
    <t>Vihaan Joshi</t>
  </si>
  <si>
    <t>Siddharth Bose</t>
  </si>
  <si>
    <t>Neha Chawla</t>
  </si>
  <si>
    <t>Ananya Mehta</t>
  </si>
  <si>
    <t>Rohan Bose</t>
  </si>
  <si>
    <t>Arjun Das</t>
  </si>
  <si>
    <t>Arjun Reddy</t>
  </si>
  <si>
    <t>Kabir Chawla</t>
  </si>
  <si>
    <t>Priya Verma</t>
  </si>
  <si>
    <t>Rohan Reddy</t>
  </si>
  <si>
    <t>Zara Patel</t>
  </si>
  <si>
    <t>Diya Kumar</t>
  </si>
  <si>
    <t>Rohan Patel</t>
  </si>
  <si>
    <t>Pooja Bose</t>
  </si>
  <si>
    <t>Diya Patel</t>
  </si>
  <si>
    <t>Aarav Sharma</t>
  </si>
  <si>
    <t>Amit Verma</t>
  </si>
  <si>
    <t>Diya Mehta</t>
  </si>
  <si>
    <t>Ishita Joshi</t>
  </si>
  <si>
    <t>Kabir Joshi</t>
  </si>
  <si>
    <t>Rahul Reddy</t>
  </si>
  <si>
    <t>Siddharth Kumar</t>
  </si>
  <si>
    <t>Arjun Mehta</t>
  </si>
  <si>
    <t>Kabir Mehta</t>
  </si>
  <si>
    <t>Kabir Kumar</t>
  </si>
  <si>
    <t>Anya Reddy</t>
  </si>
  <si>
    <t>Aditya Bose</t>
  </si>
  <si>
    <t>Rohan Verma</t>
  </si>
  <si>
    <t>Diya Reddy</t>
  </si>
  <si>
    <t>Diya Verma</t>
  </si>
  <si>
    <t>Anya Chawla</t>
  </si>
  <si>
    <t>Amit Joshi</t>
  </si>
  <si>
    <t>Zara Das</t>
  </si>
  <si>
    <t>Rohan Chawla</t>
  </si>
  <si>
    <t>Pooja Chawla</t>
  </si>
  <si>
    <t>Sai Patel</t>
  </si>
  <si>
    <t>Diya Joshi</t>
  </si>
  <si>
    <t>Kavya Chawla</t>
  </si>
  <si>
    <t>Sai Sharma</t>
  </si>
  <si>
    <t>Vihaan Sharma</t>
  </si>
  <si>
    <t>Sonia Joshi</t>
  </si>
  <si>
    <t>Ishita Mehta</t>
  </si>
  <si>
    <t>Anya Sharma</t>
  </si>
  <si>
    <t>Aarav Mehta</t>
  </si>
  <si>
    <t>Kabir Gupta</t>
  </si>
  <si>
    <t>Aditya Mehta</t>
  </si>
  <si>
    <t>Amit Mehta</t>
  </si>
  <si>
    <t>Sonia Bose</t>
  </si>
  <si>
    <t>Priya Patel</t>
  </si>
  <si>
    <t>Ananya Gupta</t>
  </si>
  <si>
    <t>Rahul Chawla</t>
  </si>
  <si>
    <t>Ananya Reddy</t>
  </si>
  <si>
    <t>Diya Gupta</t>
  </si>
  <si>
    <t>Siddharth Patel</t>
  </si>
  <si>
    <t>Arjun Kumar</t>
  </si>
  <si>
    <t>Rahul Sharma</t>
  </si>
  <si>
    <t>Amit Singh</t>
  </si>
  <si>
    <t>Sonia Das</t>
  </si>
  <si>
    <t>Kavya Bose</t>
  </si>
  <si>
    <t>Zara Gupta</t>
  </si>
  <si>
    <t>Zara Verma</t>
  </si>
  <si>
    <t>Vihaan Das</t>
  </si>
  <si>
    <t>Ananya Das</t>
  </si>
  <si>
    <t>Pooja Gupta</t>
  </si>
  <si>
    <t>Anya Singh</t>
  </si>
  <si>
    <t>Rahul Patel</t>
  </si>
  <si>
    <t>Pooja Kumar</t>
  </si>
  <si>
    <t>Siddharth Das</t>
  </si>
  <si>
    <t>Kabir Singh</t>
  </si>
  <si>
    <t>Arjun Sharma</t>
  </si>
  <si>
    <t>Pooja Patel</t>
  </si>
  <si>
    <t>Ananya Singh</t>
  </si>
  <si>
    <t>Aditya Joshi</t>
  </si>
  <si>
    <t>Anya Das</t>
  </si>
  <si>
    <t>Amit Chawla</t>
  </si>
  <si>
    <t>Kavya Das</t>
  </si>
  <si>
    <t>Rahul Gupta</t>
  </si>
  <si>
    <t>Ishita Bose</t>
  </si>
  <si>
    <t>Priya Reddy</t>
  </si>
  <si>
    <t>Rohan Singh</t>
  </si>
  <si>
    <t>Department</t>
  </si>
  <si>
    <t>Job_Level</t>
  </si>
  <si>
    <t>Hire_Date</t>
  </si>
  <si>
    <t>Termination_Date</t>
  </si>
  <si>
    <t>Base_Salary</t>
  </si>
  <si>
    <t>Sales_Revenue</t>
  </si>
  <si>
    <t>Performance_Rating</t>
  </si>
  <si>
    <t>CSAT_Score</t>
  </si>
  <si>
    <t>Compliance_Violations</t>
  </si>
  <si>
    <t>Mandatory_Training_Done</t>
  </si>
  <si>
    <t>EMP-50000</t>
  </si>
  <si>
    <t>NA</t>
  </si>
  <si>
    <t>Support</t>
  </si>
  <si>
    <t>L4</t>
  </si>
  <si>
    <t>2018-08-28</t>
  </si>
  <si>
    <t>EMP-50001</t>
  </si>
  <si>
    <t>LATAM</t>
  </si>
  <si>
    <t>L3</t>
  </si>
  <si>
    <t>2010-03-29</t>
  </si>
  <si>
    <t>2022-03-09</t>
  </si>
  <si>
    <t>Question 1: The "Bonus Eligibility" Labyrinth (Maha-Vyuh)</t>
  </si>
  <si>
    <t>EMP-50002</t>
  </si>
  <si>
    <t>APAC</t>
  </si>
  <si>
    <t>Engineering</t>
  </si>
  <si>
    <t>2015-04-19</t>
  </si>
  <si>
    <t>EMP-50003</t>
  </si>
  <si>
    <t>L7</t>
  </si>
  <si>
    <t>2021-07-14</t>
  </si>
  <si>
    <r>
      <t xml:space="preserve">Ek naya column banayein </t>
    </r>
    <r>
      <rPr>
        <sz val="10"/>
        <color theme="1"/>
        <rFont val="Arial Unicode MS"/>
      </rPr>
      <t>Bonus_Eligible</t>
    </r>
    <r>
      <rPr>
        <sz val="11"/>
        <color theme="1"/>
        <rFont val="Calibri"/>
        <family val="2"/>
        <scheme val="minor"/>
      </rPr>
      <t xml:space="preserve"> (Answer: "Yes" or "No"). </t>
    </r>
    <r>
      <rPr>
        <b/>
        <sz val="11"/>
        <color theme="1"/>
        <rFont val="Calibri"/>
        <family val="2"/>
        <scheme val="minor"/>
      </rPr>
      <t>Shartein (ALL must be true):</t>
    </r>
  </si>
  <si>
    <t>EMP-50004</t>
  </si>
  <si>
    <t>Marketing</t>
  </si>
  <si>
    <t>L2</t>
  </si>
  <si>
    <t>2018-08-17</t>
  </si>
  <si>
    <t>2021-01-24</t>
  </si>
  <si>
    <t>EMP-50005</t>
  </si>
  <si>
    <t>L1</t>
  </si>
  <si>
    <t>2015-04-23</t>
  </si>
  <si>
    <r>
      <t xml:space="preserve">1. Employee </t>
    </r>
    <r>
      <rPr>
        <b/>
        <sz val="11"/>
        <color theme="1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hona chahiye (Yani </t>
    </r>
    <r>
      <rPr>
        <sz val="10"/>
        <color theme="1"/>
        <rFont val="Arial Unicode MS"/>
      </rPr>
      <t>Termination_Date</t>
    </r>
    <r>
      <rPr>
        <sz val="11"/>
        <color theme="1"/>
        <rFont val="Calibri"/>
        <family val="2"/>
        <scheme val="minor"/>
      </rPr>
      <t xml:space="preserve"> blank honi chahiye).</t>
    </r>
  </si>
  <si>
    <t>EMP-50006</t>
  </si>
  <si>
    <t>2013-02-13</t>
  </si>
  <si>
    <t>EMP-50007</t>
  </si>
  <si>
    <t>2011-07-10</t>
  </si>
  <si>
    <t>2014-03-13</t>
  </si>
  <si>
    <r>
      <t xml:space="preserve">2. Employee ne </t>
    </r>
    <r>
      <rPr>
        <sz val="10"/>
        <color theme="1"/>
        <rFont val="Arial Unicode MS"/>
      </rPr>
      <t>Mandatory_Training_Done</t>
    </r>
    <r>
      <rPr>
        <sz val="11"/>
        <color theme="1"/>
        <rFont val="Calibri"/>
        <family val="2"/>
        <scheme val="minor"/>
      </rPr>
      <t xml:space="preserve"> "Yes" ki ho.</t>
    </r>
  </si>
  <si>
    <t>EMP-50008</t>
  </si>
  <si>
    <t>2013-09-26</t>
  </si>
  <si>
    <t>EMP-50009</t>
  </si>
  <si>
    <t>EMEA</t>
  </si>
  <si>
    <t>2013-05-23</t>
  </si>
  <si>
    <t>2022-06-10</t>
  </si>
  <si>
    <r>
      <t>3. Compliance_Violations</t>
    </r>
    <r>
      <rPr>
        <sz val="11"/>
        <color theme="1"/>
        <rFont val="Calibri"/>
        <family val="2"/>
        <scheme val="minor"/>
      </rPr>
      <t xml:space="preserve"> strictly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hone chahiye.</t>
    </r>
  </si>
  <si>
    <t>EMP-50010</t>
  </si>
  <si>
    <t>2012-09-09</t>
  </si>
  <si>
    <t>EMP-50011</t>
  </si>
  <si>
    <t>2021-05-08</t>
  </si>
  <si>
    <r>
      <t xml:space="preserve">4. Ya toh uska </t>
    </r>
    <r>
      <rPr>
        <sz val="10"/>
        <color theme="1"/>
        <rFont val="Arial Unicode MS"/>
      </rPr>
      <t>Performance_Rating</t>
    </r>
    <r>
      <rPr>
        <sz val="11"/>
        <color theme="1"/>
        <rFont val="Calibri"/>
        <family val="2"/>
        <scheme val="minor"/>
      </rPr>
      <t xml:space="preserve"> &gt;= 4.0 ho </t>
    </r>
    <r>
      <rPr>
        <b/>
        <sz val="11"/>
        <color theme="1"/>
        <rFont val="Calibri"/>
        <family val="2"/>
        <scheme val="minor"/>
      </rPr>
      <t>YA (OR)</t>
    </r>
    <r>
      <rPr>
        <sz val="11"/>
        <color theme="1"/>
        <rFont val="Calibri"/>
        <family val="2"/>
        <scheme val="minor"/>
      </rPr>
      <t xml:space="preserve"> uska </t>
    </r>
    <r>
      <rPr>
        <sz val="10"/>
        <color theme="1"/>
        <rFont val="Arial Unicode MS"/>
      </rPr>
      <t>CSAT_Score</t>
    </r>
    <r>
      <rPr>
        <sz val="11"/>
        <color theme="1"/>
        <rFont val="Calibri"/>
        <family val="2"/>
        <scheme val="minor"/>
      </rPr>
      <t xml:space="preserve"> &gt;= 90 ho.</t>
    </r>
  </si>
  <si>
    <t>EMP-50012</t>
  </si>
  <si>
    <t>2022-03-21</t>
  </si>
  <si>
    <t>EMP-50013</t>
  </si>
  <si>
    <t>2022-03-26</t>
  </si>
  <si>
    <t>5. Uski company me tenure (Naukri ke din) 365 days se zyada hone chahiye. (Hire_Date se aaj tak).</t>
  </si>
  <si>
    <t>EMP-50014</t>
  </si>
  <si>
    <t>2018-03-27</t>
  </si>
  <si>
    <t>2019-04-10</t>
  </si>
  <si>
    <t>EMP-50015</t>
  </si>
  <si>
    <t>L5</t>
  </si>
  <si>
    <t>2024-03-01</t>
  </si>
  <si>
    <t>Question 2: The "Multi-Tiered Commission" Nightmare</t>
  </si>
  <si>
    <t>EMP-50016</t>
  </si>
  <si>
    <t>2019-10-23</t>
  </si>
  <si>
    <t>EMP-50017</t>
  </si>
  <si>
    <t>2015-08-18</t>
  </si>
  <si>
    <r>
      <t xml:space="preserve">Ek naya column banayein </t>
    </r>
    <r>
      <rPr>
        <sz val="10"/>
        <color theme="1"/>
        <rFont val="Arial Unicode MS"/>
      </rPr>
      <t>Commission_Payout</t>
    </r>
    <r>
      <rPr>
        <sz val="11"/>
        <color theme="1"/>
        <rFont val="Calibri"/>
        <family val="2"/>
        <scheme val="minor"/>
      </rPr>
      <t xml:space="preserve"> (Answer: Rupaye me calculation). Sirf un logo ko commission milega jinka Department "Sales" hai.</t>
    </r>
  </si>
  <si>
    <t>EMP-50018</t>
  </si>
  <si>
    <t>2012-01-17</t>
  </si>
  <si>
    <t>EMP-50019</t>
  </si>
  <si>
    <t>2018-02-23</t>
  </si>
  <si>
    <t>2022-10-06</t>
  </si>
  <si>
    <r>
      <t xml:space="preserve">Agar Region </t>
    </r>
    <r>
      <rPr>
        <b/>
        <sz val="11"/>
        <color theme="1"/>
        <rFont val="Calibri"/>
        <family val="2"/>
        <scheme val="minor"/>
      </rPr>
      <t>"NA" ya "EMEA"</t>
    </r>
    <r>
      <rPr>
        <sz val="11"/>
        <color theme="1"/>
        <rFont val="Calibri"/>
        <family val="2"/>
        <scheme val="minor"/>
      </rPr>
      <t xml:space="preserve"> hai:</t>
    </r>
  </si>
  <si>
    <t>EMP-50020</t>
  </si>
  <si>
    <t>2021-12-22</t>
  </si>
  <si>
    <t>2022-07-06</t>
  </si>
  <si>
    <t>EMP-50021</t>
  </si>
  <si>
    <t>2013-09-29</t>
  </si>
  <si>
    <t>EMP-50022</t>
  </si>
  <si>
    <t>L6</t>
  </si>
  <si>
    <t>2012-10-19</t>
  </si>
  <si>
    <t>EMP-50023</t>
  </si>
  <si>
    <t>2018-09-06</t>
  </si>
  <si>
    <t>Sales &gt; 1,500,000 ➔ Sales ka 10%</t>
  </si>
  <si>
    <t>EMP-50024</t>
  </si>
  <si>
    <t>2015-09-13</t>
  </si>
  <si>
    <t>2019-02-24</t>
  </si>
  <si>
    <t>EMP-50025</t>
  </si>
  <si>
    <t>2019-02-02</t>
  </si>
  <si>
    <t>Sales &gt; 500,000 ➔ Sales ka 5%</t>
  </si>
  <si>
    <t>EMP-50026</t>
  </si>
  <si>
    <t>EMP-50027</t>
  </si>
  <si>
    <t>2021-01-13</t>
  </si>
  <si>
    <t>Baki ➔ 0</t>
  </si>
  <si>
    <t>EMP-50028</t>
  </si>
  <si>
    <t>2014-07-19</t>
  </si>
  <si>
    <t>2022-09-12</t>
  </si>
  <si>
    <t>EMP-50029</t>
  </si>
  <si>
    <t>2014-12-13</t>
  </si>
  <si>
    <r>
      <t xml:space="preserve">Agar Region </t>
    </r>
    <r>
      <rPr>
        <b/>
        <sz val="11"/>
        <color theme="1"/>
        <rFont val="Calibri"/>
        <family val="2"/>
        <scheme val="minor"/>
      </rPr>
      <t>"APAC" ya "LATAM"</t>
    </r>
    <r>
      <rPr>
        <sz val="11"/>
        <color theme="1"/>
        <rFont val="Calibri"/>
        <family val="2"/>
        <scheme val="minor"/>
      </rPr>
      <t xml:space="preserve"> hai:</t>
    </r>
  </si>
  <si>
    <t>EMP-50030</t>
  </si>
  <si>
    <t>2022-11-29</t>
  </si>
  <si>
    <t>2024-01-01</t>
  </si>
  <si>
    <t>EMP-50031</t>
  </si>
  <si>
    <t>2012-12-10</t>
  </si>
  <si>
    <t>EMP-50032</t>
  </si>
  <si>
    <t>2019-08-12</t>
  </si>
  <si>
    <t>EMP-50033</t>
  </si>
  <si>
    <t>2010-09-08</t>
  </si>
  <si>
    <t>Sales &gt; 1,000,000 ➔ Sales ka 12%</t>
  </si>
  <si>
    <t>EMP-50034</t>
  </si>
  <si>
    <t>2014-06-05</t>
  </si>
  <si>
    <t>EMP-50035</t>
  </si>
  <si>
    <t>2015-10-04</t>
  </si>
  <si>
    <t>Sales &gt; 400,000 ➔ Sales ka 7%</t>
  </si>
  <si>
    <t>EMP-50036</t>
  </si>
  <si>
    <t>2018-05-22</t>
  </si>
  <si>
    <t>EMP-50037</t>
  </si>
  <si>
    <t>2017-04-27</t>
  </si>
  <si>
    <t>EMP-50038</t>
  </si>
  <si>
    <t>2013-05-04</t>
  </si>
  <si>
    <t>EMP-50039</t>
  </si>
  <si>
    <t>2012-10-10</t>
  </si>
  <si>
    <r>
      <t>Penalty Logic (The Twist):</t>
    </r>
    <r>
      <rPr>
        <sz val="11"/>
        <color theme="1"/>
        <rFont val="Calibri"/>
        <family val="2"/>
        <scheme val="minor"/>
      </rPr>
      <t xml:space="preserve"> Agar employee ke paas 1 ya usse zyada </t>
    </r>
    <r>
      <rPr>
        <sz val="10"/>
        <color theme="1"/>
        <rFont val="Arial Unicode MS"/>
      </rPr>
      <t>Compliance_Violations</t>
    </r>
    <r>
      <rPr>
        <sz val="11"/>
        <color theme="1"/>
        <rFont val="Calibri"/>
        <family val="2"/>
        <scheme val="minor"/>
      </rPr>
      <t xml:space="preserve"> hain, toh jo bhi commission amount banega, uska </t>
    </r>
    <r>
      <rPr>
        <b/>
        <sz val="11"/>
        <color theme="1"/>
        <rFont val="Calibri"/>
        <family val="2"/>
        <scheme val="minor"/>
      </rPr>
      <t>50% kaat liya jayega</t>
    </r>
    <r>
      <rPr>
        <sz val="11"/>
        <color theme="1"/>
        <rFont val="Calibri"/>
        <family val="2"/>
        <scheme val="minor"/>
      </rPr>
      <t xml:space="preserve"> (Yani Final Commission = Calculated * 0.5).</t>
    </r>
  </si>
  <si>
    <t>EMP-50040</t>
  </si>
  <si>
    <t>2012-10-12</t>
  </si>
  <si>
    <t>2014-01-07</t>
  </si>
  <si>
    <t>EMP-50041</t>
  </si>
  <si>
    <t>2013-09-18</t>
  </si>
  <si>
    <t>Question 3: The "Stock Vesting" Puzzle</t>
  </si>
  <si>
    <t>EMP-50042</t>
  </si>
  <si>
    <t>2016-10-01</t>
  </si>
  <si>
    <t>EMP-50043</t>
  </si>
  <si>
    <t>2023-12-25</t>
  </si>
  <si>
    <r>
      <t xml:space="preserve">Ek column banayein </t>
    </r>
    <r>
      <rPr>
        <sz val="10"/>
        <color theme="1"/>
        <rFont val="Arial Unicode MS"/>
      </rPr>
      <t>Stock_Status</t>
    </r>
    <r>
      <rPr>
        <sz val="11"/>
        <color theme="1"/>
        <rFont val="Calibri"/>
        <family val="2"/>
        <scheme val="minor"/>
      </rPr>
      <t xml:space="preserve">. Yahan </t>
    </r>
    <r>
      <rPr>
        <sz val="10"/>
        <color theme="1"/>
        <rFont val="Arial Unicode MS"/>
      </rPr>
      <t>Job_Level</t>
    </r>
    <r>
      <rPr>
        <sz val="11"/>
        <color theme="1"/>
        <rFont val="Calibri"/>
        <family val="2"/>
        <scheme val="minor"/>
      </rPr>
      <t xml:space="preserve"> (L1 to L7) ka logic lagega.</t>
    </r>
  </si>
  <si>
    <t>EMP-50044</t>
  </si>
  <si>
    <t>2016-08-28</t>
  </si>
  <si>
    <t>EMP-50045</t>
  </si>
  <si>
    <t>2023-05-21</t>
  </si>
  <si>
    <r>
      <t xml:space="preserve">Agar Level "L6" ya "L7" hai ➔ </t>
    </r>
    <r>
      <rPr>
        <b/>
        <sz val="11"/>
        <color theme="1"/>
        <rFont val="Calibri"/>
        <family val="2"/>
        <scheme val="minor"/>
      </rPr>
      <t>"Auto-Vested"</t>
    </r>
  </si>
  <si>
    <t>EMP-50046</t>
  </si>
  <si>
    <t>2013-06-19</t>
  </si>
  <si>
    <t>EMP-50047</t>
  </si>
  <si>
    <t>2019-09-28</t>
  </si>
  <si>
    <r>
      <t xml:space="preserve">Agar Level "L4" ya "L5" hai </t>
    </r>
    <r>
      <rPr>
        <b/>
        <sz val="11"/>
        <color theme="1"/>
        <rFont val="Calibri"/>
        <family val="2"/>
        <scheme val="minor"/>
      </rPr>
      <t>AUR</t>
    </r>
    <r>
      <rPr>
        <sz val="11"/>
        <color theme="1"/>
        <rFont val="Calibri"/>
        <family val="2"/>
        <scheme val="minor"/>
      </rPr>
      <t xml:space="preserve"> Performance_Rating &gt;= 4.5 hai ➔ </t>
    </r>
    <r>
      <rPr>
        <b/>
        <sz val="11"/>
        <color theme="1"/>
        <rFont val="Calibri"/>
        <family val="2"/>
        <scheme val="minor"/>
      </rPr>
      <t>"Performance Vested"</t>
    </r>
  </si>
  <si>
    <t>EMP-50048</t>
  </si>
  <si>
    <t>2023-08-16</t>
  </si>
  <si>
    <t>EMP-50049</t>
  </si>
  <si>
    <t>2017-03-08</t>
  </si>
  <si>
    <r>
      <t xml:space="preserve">Agar (Level "L1", "L2", ya "L3" hai) </t>
    </r>
    <r>
      <rPr>
        <b/>
        <sz val="11"/>
        <color theme="1"/>
        <rFont val="Calibri"/>
        <family val="2"/>
        <scheme val="minor"/>
      </rPr>
      <t>AUR</t>
    </r>
    <r>
      <rPr>
        <sz val="11"/>
        <color theme="1"/>
        <rFont val="Calibri"/>
        <family val="2"/>
        <scheme val="minor"/>
      </rPr>
      <t xml:space="preserve"> Tenure 5 saal (1825 days) se zyada hai </t>
    </r>
    <r>
      <rPr>
        <b/>
        <sz val="11"/>
        <color theme="1"/>
        <rFont val="Calibri"/>
        <family val="2"/>
        <scheme val="minor"/>
      </rPr>
      <t>AUR</t>
    </r>
    <r>
      <rPr>
        <sz val="11"/>
        <color theme="1"/>
        <rFont val="Calibri"/>
        <family val="2"/>
        <scheme val="minor"/>
      </rPr>
      <t xml:space="preserve"> is waqt employee Active hai ➔ </t>
    </r>
    <r>
      <rPr>
        <b/>
        <sz val="11"/>
        <color theme="1"/>
        <rFont val="Calibri"/>
        <family val="2"/>
        <scheme val="minor"/>
      </rPr>
      <t>"Loyalty Vested"</t>
    </r>
  </si>
  <si>
    <t>EMP-50050</t>
  </si>
  <si>
    <t>2021-11-14</t>
  </si>
  <si>
    <t>EMP-50051</t>
  </si>
  <si>
    <t>2021-04-05</t>
  </si>
  <si>
    <r>
      <t xml:space="preserve">Baki sabhi cases me ➔ </t>
    </r>
    <r>
      <rPr>
        <b/>
        <sz val="11"/>
        <color theme="1"/>
        <rFont val="Calibri"/>
        <family val="2"/>
        <scheme val="minor"/>
      </rPr>
      <t>"Unvested"</t>
    </r>
  </si>
  <si>
    <t>EMP-50052</t>
  </si>
  <si>
    <t>2013-07-02</t>
  </si>
  <si>
    <t>EMP-50053</t>
  </si>
  <si>
    <t>2015-09-20</t>
  </si>
  <si>
    <t>Question 4: The "Final Appraisal Multiplier" (IFS function test)</t>
  </si>
  <si>
    <t>EMP-50054</t>
  </si>
  <si>
    <t>2016-12-08</t>
  </si>
  <si>
    <t>EMP-50055</t>
  </si>
  <si>
    <t>2018-03-02</t>
  </si>
  <si>
    <r>
      <t xml:space="preserve">Ek column banayein </t>
    </r>
    <r>
      <rPr>
        <sz val="10"/>
        <color theme="1"/>
        <rFont val="Arial Unicode MS"/>
      </rPr>
      <t>Salary_Multiplier</t>
    </r>
    <r>
      <rPr>
        <sz val="11"/>
        <color theme="1"/>
        <rFont val="Calibri"/>
        <family val="2"/>
        <scheme val="minor"/>
      </rPr>
      <t xml:space="preserve">. Ise </t>
    </r>
    <r>
      <rPr>
        <sz val="10"/>
        <color theme="1"/>
        <rFont val="Arial Unicode MS"/>
      </rPr>
      <t>IFS</t>
    </r>
    <r>
      <rPr>
        <sz val="11"/>
        <color theme="1"/>
        <rFont val="Calibri"/>
        <family val="2"/>
        <scheme val="minor"/>
      </rPr>
      <t xml:space="preserve"> function (agar aapke Excel me hai) ya phir Nested IF se solve karein.</t>
    </r>
  </si>
  <si>
    <t>EMP-50056</t>
  </si>
  <si>
    <t>2023-11-06</t>
  </si>
  <si>
    <t>EMP-50057</t>
  </si>
  <si>
    <t>2011-07-25</t>
  </si>
  <si>
    <r>
      <t xml:space="preserve">Agar employee Inactive (Terminated) hai ➔ </t>
    </r>
    <r>
      <rPr>
        <sz val="10"/>
        <color theme="1"/>
        <rFont val="Arial Unicode MS"/>
      </rPr>
      <t>0%</t>
    </r>
  </si>
  <si>
    <t>EMP-50058</t>
  </si>
  <si>
    <t>2019-01-23</t>
  </si>
  <si>
    <t>EMP-50059</t>
  </si>
  <si>
    <t>2022-04-11</t>
  </si>
  <si>
    <r>
      <t xml:space="preserve">Agar Rating &lt; 2.5 ➔ </t>
    </r>
    <r>
      <rPr>
        <sz val="10"/>
        <color theme="1"/>
        <rFont val="Arial Unicode MS"/>
      </rPr>
      <t>0%</t>
    </r>
  </si>
  <si>
    <t>EMP-50060</t>
  </si>
  <si>
    <t>2021-11-18</t>
  </si>
  <si>
    <t>EMP-50061</t>
  </si>
  <si>
    <t>2011-08-11</t>
  </si>
  <si>
    <r>
      <t xml:space="preserve">Agar Rating &gt;= 4.8 AND CSAT &gt;= 95 ➔ </t>
    </r>
    <r>
      <rPr>
        <sz val="10"/>
        <color theme="1"/>
        <rFont val="Arial Unicode MS"/>
      </rPr>
      <t>25%</t>
    </r>
  </si>
  <si>
    <t>EMP-50062</t>
  </si>
  <si>
    <t>2022-07-27</t>
  </si>
  <si>
    <t>EMP-50063</t>
  </si>
  <si>
    <t>2022-04-28</t>
  </si>
  <si>
    <r>
      <t xml:space="preserve">Agar Rating &gt;= 4.0 AND CSAT &gt;= 80 ➔ </t>
    </r>
    <r>
      <rPr>
        <sz val="10"/>
        <color theme="1"/>
        <rFont val="Arial Unicode MS"/>
      </rPr>
      <t>15%</t>
    </r>
  </si>
  <si>
    <t>EMP-50064</t>
  </si>
  <si>
    <t>2023-04-04</t>
  </si>
  <si>
    <t>EMP-50065</t>
  </si>
  <si>
    <t>2022-08-13</t>
  </si>
  <si>
    <t>2024-05-23</t>
  </si>
  <si>
    <r>
      <t xml:space="preserve">Agar Rating &gt;= 3.0 ➔ </t>
    </r>
    <r>
      <rPr>
        <sz val="10"/>
        <color theme="1"/>
        <rFont val="Arial Unicode MS"/>
      </rPr>
      <t>5%</t>
    </r>
  </si>
  <si>
    <t>EMP-50066</t>
  </si>
  <si>
    <t>2014-05-31</t>
  </si>
  <si>
    <t>2022-07-30</t>
  </si>
  <si>
    <t>EMP-50067</t>
  </si>
  <si>
    <t>2017-08-20</t>
  </si>
  <si>
    <r>
      <t xml:space="preserve">Baki sab (Else) ➔ </t>
    </r>
    <r>
      <rPr>
        <sz val="10"/>
        <color theme="1"/>
        <rFont val="Arial Unicode MS"/>
      </rPr>
      <t>2%</t>
    </r>
  </si>
  <si>
    <t>EMP-50068</t>
  </si>
  <si>
    <t>2018-02-11</t>
  </si>
  <si>
    <t>EMP-50069</t>
  </si>
  <si>
    <t>2023-09-17</t>
  </si>
  <si>
    <r>
      <t>Tip:</t>
    </r>
    <r>
      <rPr>
        <sz val="11"/>
        <color theme="1"/>
        <rFont val="Calibri"/>
        <family val="2"/>
        <scheme val="minor"/>
      </rPr>
      <t xml:space="preserve"> In formulas ko ek baar me likhna bohot mushkil hoga. Chhote-chhote parts me </t>
    </r>
    <r>
      <rPr>
        <sz val="10"/>
        <color theme="1"/>
        <rFont val="Arial Unicode MS"/>
      </rPr>
      <t>AND()</t>
    </r>
    <r>
      <rPr>
        <sz val="11"/>
        <color theme="1"/>
        <rFont val="Calibri"/>
        <family val="2"/>
        <scheme val="minor"/>
      </rPr>
      <t xml:space="preserve"> aur </t>
    </r>
    <r>
      <rPr>
        <sz val="10"/>
        <color theme="1"/>
        <rFont val="Arial Unicode MS"/>
      </rPr>
      <t>OR()</t>
    </r>
    <r>
      <rPr>
        <sz val="11"/>
        <color theme="1"/>
        <rFont val="Calibri"/>
        <family val="2"/>
        <scheme val="minor"/>
      </rPr>
      <t xml:space="preserve"> ko test karein, fir unko main </t>
    </r>
    <r>
      <rPr>
        <sz val="10"/>
        <color theme="1"/>
        <rFont val="Arial Unicode MS"/>
      </rPr>
      <t>IF()</t>
    </r>
    <r>
      <rPr>
        <sz val="11"/>
        <color theme="1"/>
        <rFont val="Calibri"/>
        <family val="2"/>
        <scheme val="minor"/>
      </rPr>
      <t xml:space="preserve"> ke andar daalein (ise Formula Nesting kehte hain).</t>
    </r>
  </si>
  <si>
    <t>EMP-50070</t>
  </si>
  <si>
    <t>2015-07-18</t>
  </si>
  <si>
    <t>EMP-50071</t>
  </si>
  <si>
    <t>2020-07-19</t>
  </si>
  <si>
    <t>2023-10-21</t>
  </si>
  <si>
    <t>EMP-50072</t>
  </si>
  <si>
    <t>2012-07-26</t>
  </si>
  <si>
    <t>EMP-50073</t>
  </si>
  <si>
    <t>2013-01-09</t>
  </si>
  <si>
    <t>2019-10-25</t>
  </si>
  <si>
    <t>EMP-50074</t>
  </si>
  <si>
    <t>2016-04-01</t>
  </si>
  <si>
    <t>EMP-50075</t>
  </si>
  <si>
    <t>2018-06-09</t>
  </si>
  <si>
    <t>2019-02-16</t>
  </si>
  <si>
    <t>EMP-50076</t>
  </si>
  <si>
    <t>2022-04-19</t>
  </si>
  <si>
    <t>EMP-50077</t>
  </si>
  <si>
    <t>2011-09-17</t>
  </si>
  <si>
    <t>EMP-50078</t>
  </si>
  <si>
    <t>2014-09-25</t>
  </si>
  <si>
    <t>EMP-50079</t>
  </si>
  <si>
    <t>2016-03-18</t>
  </si>
  <si>
    <t>EMP-50080</t>
  </si>
  <si>
    <t>2023-01-20</t>
  </si>
  <si>
    <t>2023-12-12</t>
  </si>
  <si>
    <t>EMP-50081</t>
  </si>
  <si>
    <t>2017-06-04</t>
  </si>
  <si>
    <t>EMP-50082</t>
  </si>
  <si>
    <t>2017-10-29</t>
  </si>
  <si>
    <t>EMP-50083</t>
  </si>
  <si>
    <t>2020-01-11</t>
  </si>
  <si>
    <t>EMP-50084</t>
  </si>
  <si>
    <t>2021-03-08</t>
  </si>
  <si>
    <t>EMP-50085</t>
  </si>
  <si>
    <t>2013-01-05</t>
  </si>
  <si>
    <t>EMP-50086</t>
  </si>
  <si>
    <t>2016-12-26</t>
  </si>
  <si>
    <t>EMP-50087</t>
  </si>
  <si>
    <t>2010-08-11</t>
  </si>
  <si>
    <t>EMP-50088</t>
  </si>
  <si>
    <t>2024-01-12</t>
  </si>
  <si>
    <t>EMP-50089</t>
  </si>
  <si>
    <t>2019-07-21</t>
  </si>
  <si>
    <t>EMP-50090</t>
  </si>
  <si>
    <t>2016-02-13</t>
  </si>
  <si>
    <t>EMP-50091</t>
  </si>
  <si>
    <t>2011-08-31</t>
  </si>
  <si>
    <t>2017-08-01</t>
  </si>
  <si>
    <t>EMP-50092</t>
  </si>
  <si>
    <t>2016-03-14</t>
  </si>
  <si>
    <t>EMP-50093</t>
  </si>
  <si>
    <t>2010-01-31</t>
  </si>
  <si>
    <t>EMP-50094</t>
  </si>
  <si>
    <t>2010-05-31</t>
  </si>
  <si>
    <t>EMP-50095</t>
  </si>
  <si>
    <t>2018-10-31</t>
  </si>
  <si>
    <t>EMP-50096</t>
  </si>
  <si>
    <t>2011-12-20</t>
  </si>
  <si>
    <t>EMP-50097</t>
  </si>
  <si>
    <t>2020-11-07</t>
  </si>
  <si>
    <t>EMP-50098</t>
  </si>
  <si>
    <t>2017-11-16</t>
  </si>
  <si>
    <t>EMP-50099</t>
  </si>
  <si>
    <t>2018-11-02</t>
  </si>
  <si>
    <t>EMP-50100</t>
  </si>
  <si>
    <t>2016-01-04</t>
  </si>
  <si>
    <t>2017-12-20</t>
  </si>
  <si>
    <t>EMP-50101</t>
  </si>
  <si>
    <t>2022-09-21</t>
  </si>
  <si>
    <t>2023-07-28</t>
  </si>
  <si>
    <t>EMP-50102</t>
  </si>
  <si>
    <t>2011-09-14</t>
  </si>
  <si>
    <t>EMP-50103</t>
  </si>
  <si>
    <t>2013-01-04</t>
  </si>
  <si>
    <t>EMP-50104</t>
  </si>
  <si>
    <t>2018-09-14</t>
  </si>
  <si>
    <t>EMP-50105</t>
  </si>
  <si>
    <t>2010-05-16</t>
  </si>
  <si>
    <t>EMP-50106</t>
  </si>
  <si>
    <t>2011-05-28</t>
  </si>
  <si>
    <t>2016-04-25</t>
  </si>
  <si>
    <t>EMP-50107</t>
  </si>
  <si>
    <t>2011-09-06</t>
  </si>
  <si>
    <t>EMP-50108</t>
  </si>
  <si>
    <t>2011-03-24</t>
  </si>
  <si>
    <t>EMP-50109</t>
  </si>
  <si>
    <t>2016-08-31</t>
  </si>
  <si>
    <t>2020-06-24</t>
  </si>
  <si>
    <t>EMP-50110</t>
  </si>
  <si>
    <t>2023-12-23</t>
  </si>
  <si>
    <t>EMP-50111</t>
  </si>
  <si>
    <t>2014-01-21</t>
  </si>
  <si>
    <t>2020-11-29</t>
  </si>
  <si>
    <t>EMP-50112</t>
  </si>
  <si>
    <t>2011-04-20</t>
  </si>
  <si>
    <t>EMP-50113</t>
  </si>
  <si>
    <t>2023-01-27</t>
  </si>
  <si>
    <t>EMP-50114</t>
  </si>
  <si>
    <t>2015-06-03</t>
  </si>
  <si>
    <t>EMP-50115</t>
  </si>
  <si>
    <t>2010-10-27</t>
  </si>
  <si>
    <t>EMP-50116</t>
  </si>
  <si>
    <t>2023-03-15</t>
  </si>
  <si>
    <t>EMP-50117</t>
  </si>
  <si>
    <t>2023-01-14</t>
  </si>
  <si>
    <t>EMP-50118</t>
  </si>
  <si>
    <t>2011-11-01</t>
  </si>
  <si>
    <t>EMP-50119</t>
  </si>
  <si>
    <t>2022-06-16</t>
  </si>
  <si>
    <t>EMP-50120</t>
  </si>
  <si>
    <t>2023-01-31</t>
  </si>
  <si>
    <t>EMP-50121</t>
  </si>
  <si>
    <t>2010-01-17</t>
  </si>
  <si>
    <t>EMP-50122</t>
  </si>
  <si>
    <t>2016-04-19</t>
  </si>
  <si>
    <t>EMP-50123</t>
  </si>
  <si>
    <t>2011-10-29</t>
  </si>
  <si>
    <t>EMP-50124</t>
  </si>
  <si>
    <t>2022-02-18</t>
  </si>
  <si>
    <t>EMP-50125</t>
  </si>
  <si>
    <t>2012-02-29</t>
  </si>
  <si>
    <t>EMP-50126</t>
  </si>
  <si>
    <t>2014-10-06</t>
  </si>
  <si>
    <t>EMP-50127</t>
  </si>
  <si>
    <t>2023-05-07</t>
  </si>
  <si>
    <t>EMP-50128</t>
  </si>
  <si>
    <t>2015-10-06</t>
  </si>
  <si>
    <t>EMP-50129</t>
  </si>
  <si>
    <t>2014-06-06</t>
  </si>
  <si>
    <t>EMP-50130</t>
  </si>
  <si>
    <t>2020-02-20</t>
  </si>
  <si>
    <t>EMP-50131</t>
  </si>
  <si>
    <t>2014-08-28</t>
  </si>
  <si>
    <t>EMP-50132</t>
  </si>
  <si>
    <t>2013-09-27</t>
  </si>
  <si>
    <t>EMP-50133</t>
  </si>
  <si>
    <t>2022-01-26</t>
  </si>
  <si>
    <t>EMP-50134</t>
  </si>
  <si>
    <t>2016-01-25</t>
  </si>
  <si>
    <t>EMP-50135</t>
  </si>
  <si>
    <t>2018-11-14</t>
  </si>
  <si>
    <t>EMP-50136</t>
  </si>
  <si>
    <t>2023-12-04</t>
  </si>
  <si>
    <t>EMP-50137</t>
  </si>
  <si>
    <t>2020-02-24</t>
  </si>
  <si>
    <t>EMP-50138</t>
  </si>
  <si>
    <t>2022-10-05</t>
  </si>
  <si>
    <t>2023-11-02</t>
  </si>
  <si>
    <t>EMP-50139</t>
  </si>
  <si>
    <t>2021-07-12</t>
  </si>
  <si>
    <t>EMP-50140</t>
  </si>
  <si>
    <t>2014-04-23</t>
  </si>
  <si>
    <t>EMP-50141</t>
  </si>
  <si>
    <t>2015-06-20</t>
  </si>
  <si>
    <t>EMP-50142</t>
  </si>
  <si>
    <t>2013-04-22</t>
  </si>
  <si>
    <t>2019-12-13</t>
  </si>
  <si>
    <t>EMP-50143</t>
  </si>
  <si>
    <t>2022-10-01</t>
  </si>
  <si>
    <t>EMP-50144</t>
  </si>
  <si>
    <t>2021-05-10</t>
  </si>
  <si>
    <t>EMP-50145</t>
  </si>
  <si>
    <t>2022-03-04</t>
  </si>
  <si>
    <t>EMP-50146</t>
  </si>
  <si>
    <t>2021-01-15</t>
  </si>
  <si>
    <t>EMP-50147</t>
  </si>
  <si>
    <t>2022-12-01</t>
  </si>
  <si>
    <t>EMP-50148</t>
  </si>
  <si>
    <t>2019-03-19</t>
  </si>
  <si>
    <t>2021-01-19</t>
  </si>
  <si>
    <t>EMP-50149</t>
  </si>
  <si>
    <t>2022-10-22</t>
  </si>
  <si>
    <t>EMP-50150</t>
  </si>
  <si>
    <t>2016-08-30</t>
  </si>
  <si>
    <t>EMP-50151</t>
  </si>
  <si>
    <t>2021-07-03</t>
  </si>
  <si>
    <t>EMP-50152</t>
  </si>
  <si>
    <t>2022-04-14</t>
  </si>
  <si>
    <t>EMP-50153</t>
  </si>
  <si>
    <t>2012-01-13</t>
  </si>
  <si>
    <t>EMP-50154</t>
  </si>
  <si>
    <t>2021-04-16</t>
  </si>
  <si>
    <t>EMP-50155</t>
  </si>
  <si>
    <t>2012-09-19</t>
  </si>
  <si>
    <t>EMP-50156</t>
  </si>
  <si>
    <t>2012-06-27</t>
  </si>
  <si>
    <t>EMP-50157</t>
  </si>
  <si>
    <t>2016-01-15</t>
  </si>
  <si>
    <t>EMP-50158</t>
  </si>
  <si>
    <t>2012-08-29</t>
  </si>
  <si>
    <t>EMP-50159</t>
  </si>
  <si>
    <t>2018-08-14</t>
  </si>
  <si>
    <t>EMP-50160</t>
  </si>
  <si>
    <t>2017-10-27</t>
  </si>
  <si>
    <t>EMP-50161</t>
  </si>
  <si>
    <t>2013-07-24</t>
  </si>
  <si>
    <t>EMP-50162</t>
  </si>
  <si>
    <t>2012-12-27</t>
  </si>
  <si>
    <t>EMP-50163</t>
  </si>
  <si>
    <t>2015-10-10</t>
  </si>
  <si>
    <t>2022-04-05</t>
  </si>
  <si>
    <t>EMP-50164</t>
  </si>
  <si>
    <t>2013-03-26</t>
  </si>
  <si>
    <t>EMP-50165</t>
  </si>
  <si>
    <t>2011-05-24</t>
  </si>
  <si>
    <t>EMP-50166</t>
  </si>
  <si>
    <t>2011-10-18</t>
  </si>
  <si>
    <t>2013-10-22</t>
  </si>
  <si>
    <t>EMP-50167</t>
  </si>
  <si>
    <t>2012-10-20</t>
  </si>
  <si>
    <t>EMP-50168</t>
  </si>
  <si>
    <t>2021-01-07</t>
  </si>
  <si>
    <t>EMP-50169</t>
  </si>
  <si>
    <t>2018-02-03</t>
  </si>
  <si>
    <t>EMP-50170</t>
  </si>
  <si>
    <t>2020-08-12</t>
  </si>
  <si>
    <t>2021-06-24</t>
  </si>
  <si>
    <t>EMP-50171</t>
  </si>
  <si>
    <t>2018-07-20</t>
  </si>
  <si>
    <t>EMP-50172</t>
  </si>
  <si>
    <t>2013-09-10</t>
  </si>
  <si>
    <t>2017-09-12</t>
  </si>
  <si>
    <t>EMP-50173</t>
  </si>
  <si>
    <t>2017-06-17</t>
  </si>
  <si>
    <t>EMP-50174</t>
  </si>
  <si>
    <t>2017-05-08</t>
  </si>
  <si>
    <t>EMP-50175</t>
  </si>
  <si>
    <t>2012-12-17</t>
  </si>
  <si>
    <t>EMP-50176</t>
  </si>
  <si>
    <t>2022-05-16</t>
  </si>
  <si>
    <t>EMP-50177</t>
  </si>
  <si>
    <t>2022-05-09</t>
  </si>
  <si>
    <t>2024-03-20</t>
  </si>
  <si>
    <t>EMP-50178</t>
  </si>
  <si>
    <t>2010-11-17</t>
  </si>
  <si>
    <t>EMP-50179</t>
  </si>
  <si>
    <t>2010-02-12</t>
  </si>
  <si>
    <t>EMP-50180</t>
  </si>
  <si>
    <t>2010-03-28</t>
  </si>
  <si>
    <t>2020-06-16</t>
  </si>
  <si>
    <t>EMP-50181</t>
  </si>
  <si>
    <t>2011-06-28</t>
  </si>
  <si>
    <t>EMP-50182</t>
  </si>
  <si>
    <t>2016-11-22</t>
  </si>
  <si>
    <t>EMP-50183</t>
  </si>
  <si>
    <t>2014-01-11</t>
  </si>
  <si>
    <t>EMP-50184</t>
  </si>
  <si>
    <t>2014-06-18</t>
  </si>
  <si>
    <t>2023-12-28</t>
  </si>
  <si>
    <t>EMP-50185</t>
  </si>
  <si>
    <t>2014-08-08</t>
  </si>
  <si>
    <t>EMP-50186</t>
  </si>
  <si>
    <t>2022-04-09</t>
  </si>
  <si>
    <t>2023-08-20</t>
  </si>
  <si>
    <t>EMP-50187</t>
  </si>
  <si>
    <t>EMP-50188</t>
  </si>
  <si>
    <t>2023-08-19</t>
  </si>
  <si>
    <t>EMP-50189</t>
  </si>
  <si>
    <t>2017-04-07</t>
  </si>
  <si>
    <t>EMP-50190</t>
  </si>
  <si>
    <t>2018-08-22</t>
  </si>
  <si>
    <t>EMP-50191</t>
  </si>
  <si>
    <t>2010-02-04</t>
  </si>
  <si>
    <t>2016-10-05</t>
  </si>
  <si>
    <t>EMP-50192</t>
  </si>
  <si>
    <t>2017-06-19</t>
  </si>
  <si>
    <t>EMP-50193</t>
  </si>
  <si>
    <t>2014-05-17</t>
  </si>
  <si>
    <t>EMP-50194</t>
  </si>
  <si>
    <t>2018-01-14</t>
  </si>
  <si>
    <t>EMP-50195</t>
  </si>
  <si>
    <t>2012-09-26</t>
  </si>
  <si>
    <t>EMP-50196</t>
  </si>
  <si>
    <t>2023-08-17</t>
  </si>
  <si>
    <t>EMP-50197</t>
  </si>
  <si>
    <t>2017-08-11</t>
  </si>
  <si>
    <t>EMP-50198</t>
  </si>
  <si>
    <t>2019-06-20</t>
  </si>
  <si>
    <t>2021-04-11</t>
  </si>
  <si>
    <t>EMP-50199</t>
  </si>
  <si>
    <t>2020-03-24</t>
  </si>
  <si>
    <t>EMP-50200</t>
  </si>
  <si>
    <t>EMP-50201</t>
  </si>
  <si>
    <t>2020-07-18</t>
  </si>
  <si>
    <t>EMP-50202</t>
  </si>
  <si>
    <t>2015-07-07</t>
  </si>
  <si>
    <t>EMP-50203</t>
  </si>
  <si>
    <t>2024-03-07</t>
  </si>
  <si>
    <t>EMP-50204</t>
  </si>
  <si>
    <t>2011-09-05</t>
  </si>
  <si>
    <t>EMP-50205</t>
  </si>
  <si>
    <t>2022-12-03</t>
  </si>
  <si>
    <t>EMP-50206</t>
  </si>
  <si>
    <t>2017-11-15</t>
  </si>
  <si>
    <t>EMP-50207</t>
  </si>
  <si>
    <t>2023-03-27</t>
  </si>
  <si>
    <t>2023-05-20</t>
  </si>
  <si>
    <t>EMP-50208</t>
  </si>
  <si>
    <t>2020-05-25</t>
  </si>
  <si>
    <t>2021-01-25</t>
  </si>
  <si>
    <t>EMP-50209</t>
  </si>
  <si>
    <t>2013-02-11</t>
  </si>
  <si>
    <t>EMP-50210</t>
  </si>
  <si>
    <t>2015-04-21</t>
  </si>
  <si>
    <t>2022-01-12</t>
  </si>
  <si>
    <t>EMP-50211</t>
  </si>
  <si>
    <t>2023-07-17</t>
  </si>
  <si>
    <t>EMP-50212</t>
  </si>
  <si>
    <t>2020-02-26</t>
  </si>
  <si>
    <t>2021-09-27</t>
  </si>
  <si>
    <t>EMP-50213</t>
  </si>
  <si>
    <t>2012-04-23</t>
  </si>
  <si>
    <t>EMP-50214</t>
  </si>
  <si>
    <t>2018-09-16</t>
  </si>
  <si>
    <t>EMP-50215</t>
  </si>
  <si>
    <t>2013-07-15</t>
  </si>
  <si>
    <t>EMP-50216</t>
  </si>
  <si>
    <t>2015-01-31</t>
  </si>
  <si>
    <t>EMP-50217</t>
  </si>
  <si>
    <t>2010-09-11</t>
  </si>
  <si>
    <t>EMP-50218</t>
  </si>
  <si>
    <t>2012-01-31</t>
  </si>
  <si>
    <t>EMP-50219</t>
  </si>
  <si>
    <t>2019-03-21</t>
  </si>
  <si>
    <t>EMP-50220</t>
  </si>
  <si>
    <t>2015-01-01</t>
  </si>
  <si>
    <t>EMP-50221</t>
  </si>
  <si>
    <t>2020-09-06</t>
  </si>
  <si>
    <t>EMP-50222</t>
  </si>
  <si>
    <t>2016-02-16</t>
  </si>
  <si>
    <t>EMP-50223</t>
  </si>
  <si>
    <t>2022-02-19</t>
  </si>
  <si>
    <t>2023-07-05</t>
  </si>
  <si>
    <t>EMP-50224</t>
  </si>
  <si>
    <t>2013-06-26</t>
  </si>
  <si>
    <t>EMP-50225</t>
  </si>
  <si>
    <t>2017-01-02</t>
  </si>
  <si>
    <t>EMP-50226</t>
  </si>
  <si>
    <t>2021-02-19</t>
  </si>
  <si>
    <t>EMP-50227</t>
  </si>
  <si>
    <t>2018-01-23</t>
  </si>
  <si>
    <t>EMP-50228</t>
  </si>
  <si>
    <t>2021-06-09</t>
  </si>
  <si>
    <t>EMP-50229</t>
  </si>
  <si>
    <t>2016-09-12</t>
  </si>
  <si>
    <t>EMP-50230</t>
  </si>
  <si>
    <t>2017-04-12</t>
  </si>
  <si>
    <t>2019-09-27</t>
  </si>
  <si>
    <t>EMP-50231</t>
  </si>
  <si>
    <t>2014-04-19</t>
  </si>
  <si>
    <t>EMP-50232</t>
  </si>
  <si>
    <t>2023-04-20</t>
  </si>
  <si>
    <t>2023-08-29</t>
  </si>
  <si>
    <t>EMP-50233</t>
  </si>
  <si>
    <t>2017-11-13</t>
  </si>
  <si>
    <t>EMP-50234</t>
  </si>
  <si>
    <t>2020-02-25</t>
  </si>
  <si>
    <t>EMP-50235</t>
  </si>
  <si>
    <t>EMP-50236</t>
  </si>
  <si>
    <t>2020-02-12</t>
  </si>
  <si>
    <t>EMP-50237</t>
  </si>
  <si>
    <t>2016-10-30</t>
  </si>
  <si>
    <t>EMP-50238</t>
  </si>
  <si>
    <t>2010-03-06</t>
  </si>
  <si>
    <t>EMP-50239</t>
  </si>
  <si>
    <t>2014-04-11</t>
  </si>
  <si>
    <t>EMP-50240</t>
  </si>
  <si>
    <t>2021-09-03</t>
  </si>
  <si>
    <t>2024-04-10</t>
  </si>
  <si>
    <t>EMP-50241</t>
  </si>
  <si>
    <t>2015-03-15</t>
  </si>
  <si>
    <t>EMP-50242</t>
  </si>
  <si>
    <t>2017-09-01</t>
  </si>
  <si>
    <t>EMP-50243</t>
  </si>
  <si>
    <t>2015-03-26</t>
  </si>
  <si>
    <t>EMP-50244</t>
  </si>
  <si>
    <t>2010-08-03</t>
  </si>
  <si>
    <t>EMP-50245</t>
  </si>
  <si>
    <t>2015-04-24</t>
  </si>
  <si>
    <t>2018-12-15</t>
  </si>
  <si>
    <t>EMP-50246</t>
  </si>
  <si>
    <t>2018-09-15</t>
  </si>
  <si>
    <t>EMP-50247</t>
  </si>
  <si>
    <t>2020-11-10</t>
  </si>
  <si>
    <t>EMP-50248</t>
  </si>
  <si>
    <t>EMP-50249</t>
  </si>
  <si>
    <t>2015-11-13</t>
  </si>
  <si>
    <t>2017-01-01</t>
  </si>
  <si>
    <t>EMP-50250</t>
  </si>
  <si>
    <t>2019-10-27</t>
  </si>
  <si>
    <t>EMP-50251</t>
  </si>
  <si>
    <t>2012-09-11</t>
  </si>
  <si>
    <t>2016-07-08</t>
  </si>
  <si>
    <t>EMP-50252</t>
  </si>
  <si>
    <t>2023-09-04</t>
  </si>
  <si>
    <t>EMP-50253</t>
  </si>
  <si>
    <t>2013-07-25</t>
  </si>
  <si>
    <t>EMP-50254</t>
  </si>
  <si>
    <t>EMP-50255</t>
  </si>
  <si>
    <t>2021-08-08</t>
  </si>
  <si>
    <t>EMP-50256</t>
  </si>
  <si>
    <t>2012-08-26</t>
  </si>
  <si>
    <t>EMP-50257</t>
  </si>
  <si>
    <t>2013-03-04</t>
  </si>
  <si>
    <t>2014-10-18</t>
  </si>
  <si>
    <t>EMP-50258</t>
  </si>
  <si>
    <t>2022-04-15</t>
  </si>
  <si>
    <t>EMP-50259</t>
  </si>
  <si>
    <t>2020-05-26</t>
  </si>
  <si>
    <t>2023-01-24</t>
  </si>
  <si>
    <t>EMP-50260</t>
  </si>
  <si>
    <t>2018-10-02</t>
  </si>
  <si>
    <t>EMP-50261</t>
  </si>
  <si>
    <t>2010-02-28</t>
  </si>
  <si>
    <t>EMP-50262</t>
  </si>
  <si>
    <t>2022-03-12</t>
  </si>
  <si>
    <t>EMP-50263</t>
  </si>
  <si>
    <t>2011-02-01</t>
  </si>
  <si>
    <t>EMP-50264</t>
  </si>
  <si>
    <t>2021-04-24</t>
  </si>
  <si>
    <t>EMP-50265</t>
  </si>
  <si>
    <t>2021-06-25</t>
  </si>
  <si>
    <t>EMP-50266</t>
  </si>
  <si>
    <t>EMP-50267</t>
  </si>
  <si>
    <t>2011-03-18</t>
  </si>
  <si>
    <t>EMP-50268</t>
  </si>
  <si>
    <t>2021-07-30</t>
  </si>
  <si>
    <t>EMP-50269</t>
  </si>
  <si>
    <t>2021-03-19</t>
  </si>
  <si>
    <t>EMP-50270</t>
  </si>
  <si>
    <t>2021-09-02</t>
  </si>
  <si>
    <t>EMP-50271</t>
  </si>
  <si>
    <t>2015-03-22</t>
  </si>
  <si>
    <t>EMP-50272</t>
  </si>
  <si>
    <t>2019-10-15</t>
  </si>
  <si>
    <t>EMP-50273</t>
  </si>
  <si>
    <t>2020-11-08</t>
  </si>
  <si>
    <t>EMP-50274</t>
  </si>
  <si>
    <t>2018-10-27</t>
  </si>
  <si>
    <t>EMP-50275</t>
  </si>
  <si>
    <t>2012-12-21</t>
  </si>
  <si>
    <t>EMP-50276</t>
  </si>
  <si>
    <t>2014-11-19</t>
  </si>
  <si>
    <t>EMP-50277</t>
  </si>
  <si>
    <t>2019-05-16</t>
  </si>
  <si>
    <t>2019-09-02</t>
  </si>
  <si>
    <t>EMP-50278</t>
  </si>
  <si>
    <t>2011-12-26</t>
  </si>
  <si>
    <t>EMP-50279</t>
  </si>
  <si>
    <t>2011-07-24</t>
  </si>
  <si>
    <t>EMP-50280</t>
  </si>
  <si>
    <t>2010-09-23</t>
  </si>
  <si>
    <t>EMP-50281</t>
  </si>
  <si>
    <t>2012-12-31</t>
  </si>
  <si>
    <t>EMP-50282</t>
  </si>
  <si>
    <t>2022-01-22</t>
  </si>
  <si>
    <t>EMP-50283</t>
  </si>
  <si>
    <t>2017-07-23</t>
  </si>
  <si>
    <t>EMP-50284</t>
  </si>
  <si>
    <t>2015-06-16</t>
  </si>
  <si>
    <t>EMP-50285</t>
  </si>
  <si>
    <t>EMP-50286</t>
  </si>
  <si>
    <t>2010-12-02</t>
  </si>
  <si>
    <t>2012-02-28</t>
  </si>
  <si>
    <t>EMP-50287</t>
  </si>
  <si>
    <t>2023-03-14</t>
  </si>
  <si>
    <t>EMP-50288</t>
  </si>
  <si>
    <t>2023-12-20</t>
  </si>
  <si>
    <t>EMP-50289</t>
  </si>
  <si>
    <t>2020-04-07</t>
  </si>
  <si>
    <t>EMP-50290</t>
  </si>
  <si>
    <t>2017-01-23</t>
  </si>
  <si>
    <t>EMP-50291</t>
  </si>
  <si>
    <t>2010-09-29</t>
  </si>
  <si>
    <t>EMP-50292</t>
  </si>
  <si>
    <t>2024-01-28</t>
  </si>
  <si>
    <t>EMP-50293</t>
  </si>
  <si>
    <t>2017-04-09</t>
  </si>
  <si>
    <t>EMP-50294</t>
  </si>
  <si>
    <t>2019-07-02</t>
  </si>
  <si>
    <t>2023-08-07</t>
  </si>
  <si>
    <t>EMP-50295</t>
  </si>
  <si>
    <t>2017-07-29</t>
  </si>
  <si>
    <t>EMP-50296</t>
  </si>
  <si>
    <t>2013-02-14</t>
  </si>
  <si>
    <t>EMP-50297</t>
  </si>
  <si>
    <t>2017-03-16</t>
  </si>
  <si>
    <t>EMP-50298</t>
  </si>
  <si>
    <t>2013-06-05</t>
  </si>
  <si>
    <t>EMP-50299</t>
  </si>
  <si>
    <t>EMP-50300</t>
  </si>
  <si>
    <t>2021-04-12</t>
  </si>
  <si>
    <t>EMP-50301</t>
  </si>
  <si>
    <t>2011-11-08</t>
  </si>
  <si>
    <t>EMP-50302</t>
  </si>
  <si>
    <t>2022-09-01</t>
  </si>
  <si>
    <t>EMP-50303</t>
  </si>
  <si>
    <t>2014-11-10</t>
  </si>
  <si>
    <t>EMP-50304</t>
  </si>
  <si>
    <t>2015-04-11</t>
  </si>
  <si>
    <t>EMP-50305</t>
  </si>
  <si>
    <t>2014-09-27</t>
  </si>
  <si>
    <t>EMP-50306</t>
  </si>
  <si>
    <t>2015-01-18</t>
  </si>
  <si>
    <t>EMP-50307</t>
  </si>
  <si>
    <t>2010-10-11</t>
  </si>
  <si>
    <t>EMP-50308</t>
  </si>
  <si>
    <t>2022-07-28</t>
  </si>
  <si>
    <t>EMP-50309</t>
  </si>
  <si>
    <t>2012-05-13</t>
  </si>
  <si>
    <t>EMP-50310</t>
  </si>
  <si>
    <t>2011-06-16</t>
  </si>
  <si>
    <t>EMP-50311</t>
  </si>
  <si>
    <t>2014-10-15</t>
  </si>
  <si>
    <t>EMP-50312</t>
  </si>
  <si>
    <t>2015-12-15</t>
  </si>
  <si>
    <t>EMP-50313</t>
  </si>
  <si>
    <t>2017-11-24</t>
  </si>
  <si>
    <t>EMP-50314</t>
  </si>
  <si>
    <t>2012-07-29</t>
  </si>
  <si>
    <t>EMP-50315</t>
  </si>
  <si>
    <t>2017-05-01</t>
  </si>
  <si>
    <t>EMP-50316</t>
  </si>
  <si>
    <t>2023-04-21</t>
  </si>
  <si>
    <t>EMP-50317</t>
  </si>
  <si>
    <t>2018-04-11</t>
  </si>
  <si>
    <t>2019-12-14</t>
  </si>
  <si>
    <t>EMP-50318</t>
  </si>
  <si>
    <t>2018-11-05</t>
  </si>
  <si>
    <t>EMP-50319</t>
  </si>
  <si>
    <t>2014-01-27</t>
  </si>
  <si>
    <t>EMP-50320</t>
  </si>
  <si>
    <t>2020-08-05</t>
  </si>
  <si>
    <t>EMP-50321</t>
  </si>
  <si>
    <t>2013-01-01</t>
  </si>
  <si>
    <t>EMP-50322</t>
  </si>
  <si>
    <t>2023-11-24</t>
  </si>
  <si>
    <t>EMP-50323</t>
  </si>
  <si>
    <t>2010-02-14</t>
  </si>
  <si>
    <t>EMP-50324</t>
  </si>
  <si>
    <t>2023-05-28</t>
  </si>
  <si>
    <t>2023-09-20</t>
  </si>
  <si>
    <t>EMP-50325</t>
  </si>
  <si>
    <t>2024-04-14</t>
  </si>
  <si>
    <t>EMP-50326</t>
  </si>
  <si>
    <t>2022-05-12</t>
  </si>
  <si>
    <t>EMP-50327</t>
  </si>
  <si>
    <t>2011-06-03</t>
  </si>
  <si>
    <t>EMP-50328</t>
  </si>
  <si>
    <t>2020-09-25</t>
  </si>
  <si>
    <t>EMP-50329</t>
  </si>
  <si>
    <t>2013-05-27</t>
  </si>
  <si>
    <t>EMP-50330</t>
  </si>
  <si>
    <t>2014-08-21</t>
  </si>
  <si>
    <t>EMP-50331</t>
  </si>
  <si>
    <t>2023-08-21</t>
  </si>
  <si>
    <t>EMP-50332</t>
  </si>
  <si>
    <t>2021-09-16</t>
  </si>
  <si>
    <t>2022-07-20</t>
  </si>
  <si>
    <t>EMP-50333</t>
  </si>
  <si>
    <t>2015-09-18</t>
  </si>
  <si>
    <t>EMP-50334</t>
  </si>
  <si>
    <t>2014-09-21</t>
  </si>
  <si>
    <t>EMP-50335</t>
  </si>
  <si>
    <t>2012-11-23</t>
  </si>
  <si>
    <t>EMP-50336</t>
  </si>
  <si>
    <t>2017-05-20</t>
  </si>
  <si>
    <t>EMP-50337</t>
  </si>
  <si>
    <t>2015-08-31</t>
  </si>
  <si>
    <t>EMP-50338</t>
  </si>
  <si>
    <t>2017-01-20</t>
  </si>
  <si>
    <t>EMP-50339</t>
  </si>
  <si>
    <t>2023-11-11</t>
  </si>
  <si>
    <t>EMP-50340</t>
  </si>
  <si>
    <t>2012-02-17</t>
  </si>
  <si>
    <t>2012-12-08</t>
  </si>
  <si>
    <t>EMP-50341</t>
  </si>
  <si>
    <t>2013-06-08</t>
  </si>
  <si>
    <t>EMP-50342</t>
  </si>
  <si>
    <t>2012-04-07</t>
  </si>
  <si>
    <t>EMP-50343</t>
  </si>
  <si>
    <t>2011-01-24</t>
  </si>
  <si>
    <t>EMP-50344</t>
  </si>
  <si>
    <t>2012-05-23</t>
  </si>
  <si>
    <t>EMP-50345</t>
  </si>
  <si>
    <t>2018-12-04</t>
  </si>
  <si>
    <t>EMP-50346</t>
  </si>
  <si>
    <t>2023-12-19</t>
  </si>
  <si>
    <t>2024-02-29</t>
  </si>
  <si>
    <t>EMP-50347</t>
  </si>
  <si>
    <t>EMP-50348</t>
  </si>
  <si>
    <t>2014-04-03</t>
  </si>
  <si>
    <t>EMP-50349</t>
  </si>
  <si>
    <t>2012-05-16</t>
  </si>
  <si>
    <t>2021-01-03</t>
  </si>
  <si>
    <t>EMP-50350</t>
  </si>
  <si>
    <t>2022-11-28</t>
  </si>
  <si>
    <t>EMP-50351</t>
  </si>
  <si>
    <t>2019-06-15</t>
  </si>
  <si>
    <t>EMP-50352</t>
  </si>
  <si>
    <t>2010-08-09</t>
  </si>
  <si>
    <t>EMP-50353</t>
  </si>
  <si>
    <t>2019-12-07</t>
  </si>
  <si>
    <t>EMP-50354</t>
  </si>
  <si>
    <t>2017-12-22</t>
  </si>
  <si>
    <t>EMP-50355</t>
  </si>
  <si>
    <t>2013-10-19</t>
  </si>
  <si>
    <t>EMP-50356</t>
  </si>
  <si>
    <t>2012-01-21</t>
  </si>
  <si>
    <t>EMP-50357</t>
  </si>
  <si>
    <t>2023-10-17</t>
  </si>
  <si>
    <t>2024-06-06</t>
  </si>
  <si>
    <t>EMP-50358</t>
  </si>
  <si>
    <t>EMP-50359</t>
  </si>
  <si>
    <t>2021-10-28</t>
  </si>
  <si>
    <t>EMP-50360</t>
  </si>
  <si>
    <t>2013-02-25</t>
  </si>
  <si>
    <t>EMP-50361</t>
  </si>
  <si>
    <t>2014-05-23</t>
  </si>
  <si>
    <t>EMP-50362</t>
  </si>
  <si>
    <t>2012-04-01</t>
  </si>
  <si>
    <t>EMP-50363</t>
  </si>
  <si>
    <t>2019-12-15</t>
  </si>
  <si>
    <t>EMP-50364</t>
  </si>
  <si>
    <t>2017-01-31</t>
  </si>
  <si>
    <t>EMP-50365</t>
  </si>
  <si>
    <t>2023-08-10</t>
  </si>
  <si>
    <t>2024-02-19</t>
  </si>
  <si>
    <t>EMP-50366</t>
  </si>
  <si>
    <t>2013-09-20</t>
  </si>
  <si>
    <t>EMP-50367</t>
  </si>
  <si>
    <t>2015-05-24</t>
  </si>
  <si>
    <t>EMP-50368</t>
  </si>
  <si>
    <t>2021-11-11</t>
  </si>
  <si>
    <t>2024-04-29</t>
  </si>
  <si>
    <t>EMP-50369</t>
  </si>
  <si>
    <t>EMP-50370</t>
  </si>
  <si>
    <t>2010-05-10</t>
  </si>
  <si>
    <t>EMP-50371</t>
  </si>
  <si>
    <t>2013-02-03</t>
  </si>
  <si>
    <t>EMP-50372</t>
  </si>
  <si>
    <t>2020-11-14</t>
  </si>
  <si>
    <t>EMP-50373</t>
  </si>
  <si>
    <t>2010-09-15</t>
  </si>
  <si>
    <t>EMP-50374</t>
  </si>
  <si>
    <t>2018-10-13</t>
  </si>
  <si>
    <t>EMP-50375</t>
  </si>
  <si>
    <t>2023-11-05</t>
  </si>
  <si>
    <t>EMP-50376</t>
  </si>
  <si>
    <t>2024-01-04</t>
  </si>
  <si>
    <t>EMP-50377</t>
  </si>
  <si>
    <t>2016-12-31</t>
  </si>
  <si>
    <t>2021-01-23</t>
  </si>
  <si>
    <t>EMP-50378</t>
  </si>
  <si>
    <t>2019-11-08</t>
  </si>
  <si>
    <t>EMP-50379</t>
  </si>
  <si>
    <t>2013-10-13</t>
  </si>
  <si>
    <t>EMP-50380</t>
  </si>
  <si>
    <t>2018-07-05</t>
  </si>
  <si>
    <t>EMP-50381</t>
  </si>
  <si>
    <t>EMP-50382</t>
  </si>
  <si>
    <t>2013-02-16</t>
  </si>
  <si>
    <t>EMP-50383</t>
  </si>
  <si>
    <t>2023-08-15</t>
  </si>
  <si>
    <t>EMP-50384</t>
  </si>
  <si>
    <t>2016-06-26</t>
  </si>
  <si>
    <t>EMP-50385</t>
  </si>
  <si>
    <t>2011-02-03</t>
  </si>
  <si>
    <t>2013-06-25</t>
  </si>
  <si>
    <t>EMP-50386</t>
  </si>
  <si>
    <t>2014-11-12</t>
  </si>
  <si>
    <t>EMP-50387</t>
  </si>
  <si>
    <t>2011-12-04</t>
  </si>
  <si>
    <t>EMP-50388</t>
  </si>
  <si>
    <t>2014-10-20</t>
  </si>
  <si>
    <t>EMP-50389</t>
  </si>
  <si>
    <t>2020-02-15</t>
  </si>
  <si>
    <t>EMP-50390</t>
  </si>
  <si>
    <t>2017-12-27</t>
  </si>
  <si>
    <t>EMP-50391</t>
  </si>
  <si>
    <t>2021-02-22</t>
  </si>
  <si>
    <t>2023-06-27</t>
  </si>
  <si>
    <t>EMP-50392</t>
  </si>
  <si>
    <t>2018-11-06</t>
  </si>
  <si>
    <t>EMP-50393</t>
  </si>
  <si>
    <t>2015-07-12</t>
  </si>
  <si>
    <t>EMP-50394</t>
  </si>
  <si>
    <t>2022-10-19</t>
  </si>
  <si>
    <t>EMP-50395</t>
  </si>
  <si>
    <t>2020-05-27</t>
  </si>
  <si>
    <t>EMP-50396</t>
  </si>
  <si>
    <t>2013-04-19</t>
  </si>
  <si>
    <t>EMP-50397</t>
  </si>
  <si>
    <t>2011-05-11</t>
  </si>
  <si>
    <t>EMP-50398</t>
  </si>
  <si>
    <t>2020-01-30</t>
  </si>
  <si>
    <t>EMP-50399</t>
  </si>
  <si>
    <t>EMP-50400</t>
  </si>
  <si>
    <t>2021-05-28</t>
  </si>
  <si>
    <t>EMP-50401</t>
  </si>
  <si>
    <t>2012-11-28</t>
  </si>
  <si>
    <t>2016-01-16</t>
  </si>
  <si>
    <t>EMP-50402</t>
  </si>
  <si>
    <t>EMP-50403</t>
  </si>
  <si>
    <t>2010-08-31</t>
  </si>
  <si>
    <t>EMP-50404</t>
  </si>
  <si>
    <t>2021-07-06</t>
  </si>
  <si>
    <t>EMP-50405</t>
  </si>
  <si>
    <t>2022-12-06</t>
  </si>
  <si>
    <t>EMP-50406</t>
  </si>
  <si>
    <t>2011-11-27</t>
  </si>
  <si>
    <t>EMP-50407</t>
  </si>
  <si>
    <t>2010-05-18</t>
  </si>
  <si>
    <t>EMP-50408</t>
  </si>
  <si>
    <t>2021-06-18</t>
  </si>
  <si>
    <t>EMP-50409</t>
  </si>
  <si>
    <t>2022-05-06</t>
  </si>
  <si>
    <t>EMP-50410</t>
  </si>
  <si>
    <t>2011-02-22</t>
  </si>
  <si>
    <t>EMP-50411</t>
  </si>
  <si>
    <t>2015-04-09</t>
  </si>
  <si>
    <t>EMP-50412</t>
  </si>
  <si>
    <t>2021-05-07</t>
  </si>
  <si>
    <t>EMP-50413</t>
  </si>
  <si>
    <t>2013-10-17</t>
  </si>
  <si>
    <t>EMP-50414</t>
  </si>
  <si>
    <t>2014-04-08</t>
  </si>
  <si>
    <t>EMP-50415</t>
  </si>
  <si>
    <t>2016-02-19</t>
  </si>
  <si>
    <t>EMP-50416</t>
  </si>
  <si>
    <t>2015-12-06</t>
  </si>
  <si>
    <t>EMP-50417</t>
  </si>
  <si>
    <t>2016-12-15</t>
  </si>
  <si>
    <t>EMP-50418</t>
  </si>
  <si>
    <t>2023-04-23</t>
  </si>
  <si>
    <t>EMP-50419</t>
  </si>
  <si>
    <t>2023-11-27</t>
  </si>
  <si>
    <t>EMP-50420</t>
  </si>
  <si>
    <t>2020-05-13</t>
  </si>
  <si>
    <t>EMP-50421</t>
  </si>
  <si>
    <t>2014-11-30</t>
  </si>
  <si>
    <t>EMP-50422</t>
  </si>
  <si>
    <t>2015-09-09</t>
  </si>
  <si>
    <t>EMP-50423</t>
  </si>
  <si>
    <t>2017-12-01</t>
  </si>
  <si>
    <t>EMP-50424</t>
  </si>
  <si>
    <t>2021-10-20</t>
  </si>
  <si>
    <t>2022-12-08</t>
  </si>
  <si>
    <t>EMP-50425</t>
  </si>
  <si>
    <t>2016-07-29</t>
  </si>
  <si>
    <t>EMP-50426</t>
  </si>
  <si>
    <t>2011-05-02</t>
  </si>
  <si>
    <t>EMP-50427</t>
  </si>
  <si>
    <t>2012-06-17</t>
  </si>
  <si>
    <t>EMP-50428</t>
  </si>
  <si>
    <t>2022-12-28</t>
  </si>
  <si>
    <t>EMP-50429</t>
  </si>
  <si>
    <t>2011-08-08</t>
  </si>
  <si>
    <t>EMP-50430</t>
  </si>
  <si>
    <t>2010-07-23</t>
  </si>
  <si>
    <t>EMP-50431</t>
  </si>
  <si>
    <t>2018-05-31</t>
  </si>
  <si>
    <t>EMP-50432</t>
  </si>
  <si>
    <t>2018-08-10</t>
  </si>
  <si>
    <t>EMP-50433</t>
  </si>
  <si>
    <t>2017-04-08</t>
  </si>
  <si>
    <t>EMP-50434</t>
  </si>
  <si>
    <t>2010-08-20</t>
  </si>
  <si>
    <t>2020-04-12</t>
  </si>
  <si>
    <t>EMP-50435</t>
  </si>
  <si>
    <t>2014-05-25</t>
  </si>
  <si>
    <t>EMP-50436</t>
  </si>
  <si>
    <t>2011-02-28</t>
  </si>
  <si>
    <t>EMP-50437</t>
  </si>
  <si>
    <t>2022-11-05</t>
  </si>
  <si>
    <t>2024-04-05</t>
  </si>
  <si>
    <t>EMP-50438</t>
  </si>
  <si>
    <t>2013-11-22</t>
  </si>
  <si>
    <t>EMP-50439</t>
  </si>
  <si>
    <t>2015-02-13</t>
  </si>
  <si>
    <t>2018-02-14</t>
  </si>
  <si>
    <t>EMP-50440</t>
  </si>
  <si>
    <t>2012-03-05</t>
  </si>
  <si>
    <t>2019-12-30</t>
  </si>
  <si>
    <t>EMP-50441</t>
  </si>
  <si>
    <t>2015-04-28</t>
  </si>
  <si>
    <t>EMP-50442</t>
  </si>
  <si>
    <t>2011-12-27</t>
  </si>
  <si>
    <t>EMP-50443</t>
  </si>
  <si>
    <t>2016-12-12</t>
  </si>
  <si>
    <t>EMP-50444</t>
  </si>
  <si>
    <t>2013-04-04</t>
  </si>
  <si>
    <t>2013-07-27</t>
  </si>
  <si>
    <t>EMP-50445</t>
  </si>
  <si>
    <t>2018-03-18</t>
  </si>
  <si>
    <t>EMP-50446</t>
  </si>
  <si>
    <t>2012-12-11</t>
  </si>
  <si>
    <t>EMP-50447</t>
  </si>
  <si>
    <t>2015-10-16</t>
  </si>
  <si>
    <t>EMP-50448</t>
  </si>
  <si>
    <t>2019-02-15</t>
  </si>
  <si>
    <t>EMP-50449</t>
  </si>
  <si>
    <t>2022-03-15</t>
  </si>
  <si>
    <t>EMP-50450</t>
  </si>
  <si>
    <t>2014-06-28</t>
  </si>
  <si>
    <t>EMP-50451</t>
  </si>
  <si>
    <t>2017-12-26</t>
  </si>
  <si>
    <t>EMP-50452</t>
  </si>
  <si>
    <t>2023-10-03</t>
  </si>
  <si>
    <t>EMP-50453</t>
  </si>
  <si>
    <t>EMP-50454</t>
  </si>
  <si>
    <t>2017-05-13</t>
  </si>
  <si>
    <t>EMP-50455</t>
  </si>
  <si>
    <t>2020-04-26</t>
  </si>
  <si>
    <t>2021-04-21</t>
  </si>
  <si>
    <t>EMP-50456</t>
  </si>
  <si>
    <t>2018-06-15</t>
  </si>
  <si>
    <t>EMP-50457</t>
  </si>
  <si>
    <t>2012-08-08</t>
  </si>
  <si>
    <t>EMP-50458</t>
  </si>
  <si>
    <t>EMP-50459</t>
  </si>
  <si>
    <t>2013-06-10</t>
  </si>
  <si>
    <t>EMP-50460</t>
  </si>
  <si>
    <t>2014-06-14</t>
  </si>
  <si>
    <t>EMP-50461</t>
  </si>
  <si>
    <t>2014-12-27</t>
  </si>
  <si>
    <t>EMP-50462</t>
  </si>
  <si>
    <t>2012-03-30</t>
  </si>
  <si>
    <t>EMP-50463</t>
  </si>
  <si>
    <t>2015-04-27</t>
  </si>
  <si>
    <t>2020-09-01</t>
  </si>
  <si>
    <t>EMP-50464</t>
  </si>
  <si>
    <t>2021-05-21</t>
  </si>
  <si>
    <t>EMP-50465</t>
  </si>
  <si>
    <t>2019-05-09</t>
  </si>
  <si>
    <t>EMP-50466</t>
  </si>
  <si>
    <t>2014-03-05</t>
  </si>
  <si>
    <t>EMP-50467</t>
  </si>
  <si>
    <t>2023-11-30</t>
  </si>
  <si>
    <t>EMP-50468</t>
  </si>
  <si>
    <t>2015-03-06</t>
  </si>
  <si>
    <t>EMP-50469</t>
  </si>
  <si>
    <t>2020-10-15</t>
  </si>
  <si>
    <t>EMP-50470</t>
  </si>
  <si>
    <t>2010-04-27</t>
  </si>
  <si>
    <t>EMP-50471</t>
  </si>
  <si>
    <t>2020-09-21</t>
  </si>
  <si>
    <t>EMP-50472</t>
  </si>
  <si>
    <t>2020-08-09</t>
  </si>
  <si>
    <t>2021-09-30</t>
  </si>
  <si>
    <t>EMP-50473</t>
  </si>
  <si>
    <t>2021-08-18</t>
  </si>
  <si>
    <t>EMP-50474</t>
  </si>
  <si>
    <t>2022-03-24</t>
  </si>
  <si>
    <t>EMP-50475</t>
  </si>
  <si>
    <t>2013-11-06</t>
  </si>
  <si>
    <t>EMP-50476</t>
  </si>
  <si>
    <t>2017-10-07</t>
  </si>
  <si>
    <t>EMP-50477</t>
  </si>
  <si>
    <t>2016-05-05</t>
  </si>
  <si>
    <t>EMP-50478</t>
  </si>
  <si>
    <t>2019-06-17</t>
  </si>
  <si>
    <t>EMP-50479</t>
  </si>
  <si>
    <t>2016-05-29</t>
  </si>
  <si>
    <t>EMP-50480</t>
  </si>
  <si>
    <t>2018-06-08</t>
  </si>
  <si>
    <t>EMP-50481</t>
  </si>
  <si>
    <t>2012-03-25</t>
  </si>
  <si>
    <t>EMP-50482</t>
  </si>
  <si>
    <t>2023-08-05</t>
  </si>
  <si>
    <t>EMP-50483</t>
  </si>
  <si>
    <t>2010-03-14</t>
  </si>
  <si>
    <t>2022-03-06</t>
  </si>
  <si>
    <t>EMP-50484</t>
  </si>
  <si>
    <t>EMP-50485</t>
  </si>
  <si>
    <t>2017-11-26</t>
  </si>
  <si>
    <t>EMP-50486</t>
  </si>
  <si>
    <t>2010-06-16</t>
  </si>
  <si>
    <t>EMP-50487</t>
  </si>
  <si>
    <t>EMP-50488</t>
  </si>
  <si>
    <t>2021-07-17</t>
  </si>
  <si>
    <t>EMP-50489</t>
  </si>
  <si>
    <t>2018-05-19</t>
  </si>
  <si>
    <t>EMP-50490</t>
  </si>
  <si>
    <t>2013-09-03</t>
  </si>
  <si>
    <t>EMP-50491</t>
  </si>
  <si>
    <t>2017-09-04</t>
  </si>
  <si>
    <t>EMP-50492</t>
  </si>
  <si>
    <t>2015-12-31</t>
  </si>
  <si>
    <t>EMP-50493</t>
  </si>
  <si>
    <t>2021-04-01</t>
  </si>
  <si>
    <t>EMP-50494</t>
  </si>
  <si>
    <t>2014-07-23</t>
  </si>
  <si>
    <t>EMP-50495</t>
  </si>
  <si>
    <t>2016-05-02</t>
  </si>
  <si>
    <t>EMP-50496</t>
  </si>
  <si>
    <t>2022-01-08</t>
  </si>
  <si>
    <t>EMP-50497</t>
  </si>
  <si>
    <t>2013-11-11</t>
  </si>
  <si>
    <t>EMP-50498</t>
  </si>
  <si>
    <t>2021-11-30</t>
  </si>
  <si>
    <t>EMP-50499</t>
  </si>
  <si>
    <t>2016-05-17</t>
  </si>
  <si>
    <t>EMP-50500</t>
  </si>
  <si>
    <t>2022-10-13</t>
  </si>
  <si>
    <t>EMP-50501</t>
  </si>
  <si>
    <t>2024-02-07</t>
  </si>
  <si>
    <t>EMP-50502</t>
  </si>
  <si>
    <t>EMP-50503</t>
  </si>
  <si>
    <t>2019-07-18</t>
  </si>
  <si>
    <t>EMP-50504</t>
  </si>
  <si>
    <t>2015-06-02</t>
  </si>
  <si>
    <t>2015-07-20</t>
  </si>
  <si>
    <t>EMP-50505</t>
  </si>
  <si>
    <t>2014-12-25</t>
  </si>
  <si>
    <t>EMP-50506</t>
  </si>
  <si>
    <t>2021-12-20</t>
  </si>
  <si>
    <t>EMP-50507</t>
  </si>
  <si>
    <t>2018-04-25</t>
  </si>
  <si>
    <t>EMP-50508</t>
  </si>
  <si>
    <t>EMP-50509</t>
  </si>
  <si>
    <t>2018-02-06</t>
  </si>
  <si>
    <t>EMP-50510</t>
  </si>
  <si>
    <t>2017-03-27</t>
  </si>
  <si>
    <t>2022-08-02</t>
  </si>
  <si>
    <t>EMP-50511</t>
  </si>
  <si>
    <t>EMP-50512</t>
  </si>
  <si>
    <t>2020-08-25</t>
  </si>
  <si>
    <t>EMP-50513</t>
  </si>
  <si>
    <t>2015-04-07</t>
  </si>
  <si>
    <t>2016-04-27</t>
  </si>
  <si>
    <t>EMP-50514</t>
  </si>
  <si>
    <t>2017-07-31</t>
  </si>
  <si>
    <t>EMP-50515</t>
  </si>
  <si>
    <t>2013-09-08</t>
  </si>
  <si>
    <t>2023-08-08</t>
  </si>
  <si>
    <t>EMP-50516</t>
  </si>
  <si>
    <t>2021-04-14</t>
  </si>
  <si>
    <t>EMP-50517</t>
  </si>
  <si>
    <t>EMP-50518</t>
  </si>
  <si>
    <t>EMP-50519</t>
  </si>
  <si>
    <t>2021-12-08</t>
  </si>
  <si>
    <t>2023-03-11</t>
  </si>
  <si>
    <t>EMP-50520</t>
  </si>
  <si>
    <t>2015-10-15</t>
  </si>
  <si>
    <t>2017-07-20</t>
  </si>
  <si>
    <t>EMP-50521</t>
  </si>
  <si>
    <t>2015-02-10</t>
  </si>
  <si>
    <t>2020-05-08</t>
  </si>
  <si>
    <t>EMP-50522</t>
  </si>
  <si>
    <t>2015-01-09</t>
  </si>
  <si>
    <t>EMP-50523</t>
  </si>
  <si>
    <t>2019-05-21</t>
  </si>
  <si>
    <t>EMP-50524</t>
  </si>
  <si>
    <t>2023-03-25</t>
  </si>
  <si>
    <t>EMP-50525</t>
  </si>
  <si>
    <t>2019-08-19</t>
  </si>
  <si>
    <t>EMP-50526</t>
  </si>
  <si>
    <t>2022-03-10</t>
  </si>
  <si>
    <t>EMP-50527</t>
  </si>
  <si>
    <t>2020-02-04</t>
  </si>
  <si>
    <t>EMP-50528</t>
  </si>
  <si>
    <t>2011-04-22</t>
  </si>
  <si>
    <t>EMP-50529</t>
  </si>
  <si>
    <t>2024-01-31</t>
  </si>
  <si>
    <t>2024-05-25</t>
  </si>
  <si>
    <t>EMP-50530</t>
  </si>
  <si>
    <t>2020-11-25</t>
  </si>
  <si>
    <t>EMP-50531</t>
  </si>
  <si>
    <t>2015-10-18</t>
  </si>
  <si>
    <t>EMP-50532</t>
  </si>
  <si>
    <t>2016-01-23</t>
  </si>
  <si>
    <t>EMP-50533</t>
  </si>
  <si>
    <t>2018-02-19</t>
  </si>
  <si>
    <t>EMP-50534</t>
  </si>
  <si>
    <t>2021-11-16</t>
  </si>
  <si>
    <t>EMP-50535</t>
  </si>
  <si>
    <t>EMP-50536</t>
  </si>
  <si>
    <t>2023-07-09</t>
  </si>
  <si>
    <t>EMP-50537</t>
  </si>
  <si>
    <t>2014-03-15</t>
  </si>
  <si>
    <t>EMP-50538</t>
  </si>
  <si>
    <t>EMP-50539</t>
  </si>
  <si>
    <t>2012-11-06</t>
  </si>
  <si>
    <t>EMP-50540</t>
  </si>
  <si>
    <t>2018-11-21</t>
  </si>
  <si>
    <t>2023-11-22</t>
  </si>
  <si>
    <t>EMP-50541</t>
  </si>
  <si>
    <t>2017-02-17</t>
  </si>
  <si>
    <t>EMP-50542</t>
  </si>
  <si>
    <t>2015-07-05</t>
  </si>
  <si>
    <t>EMP-50543</t>
  </si>
  <si>
    <t>2019-01-12</t>
  </si>
  <si>
    <t>EMP-50544</t>
  </si>
  <si>
    <t>2013-06-22</t>
  </si>
  <si>
    <t>2021-07-11</t>
  </si>
  <si>
    <t>EMP-50545</t>
  </si>
  <si>
    <t>2013-08-04</t>
  </si>
  <si>
    <t>EMP-50546</t>
  </si>
  <si>
    <t>2011-10-13</t>
  </si>
  <si>
    <t>EMP-50547</t>
  </si>
  <si>
    <t>2018-02-27</t>
  </si>
  <si>
    <t>EMP-50548</t>
  </si>
  <si>
    <t>EMP-50549</t>
  </si>
  <si>
    <t>2013-02-24</t>
  </si>
  <si>
    <t>EMP-50550</t>
  </si>
  <si>
    <t>2016-10-02</t>
  </si>
  <si>
    <t>EMP-50551</t>
  </si>
  <si>
    <t>EMP-50552</t>
  </si>
  <si>
    <t>EMP-50553</t>
  </si>
  <si>
    <t>EMP-50554</t>
  </si>
  <si>
    <t>2023-10-18</t>
  </si>
  <si>
    <t>EMP-50555</t>
  </si>
  <si>
    <t>EMP-50556</t>
  </si>
  <si>
    <t>2018-07-28</t>
  </si>
  <si>
    <t>EMP-50557</t>
  </si>
  <si>
    <t>2021-09-01</t>
  </si>
  <si>
    <t>EMP-50558</t>
  </si>
  <si>
    <t>EMP-50559</t>
  </si>
  <si>
    <t>2021-05-26</t>
  </si>
  <si>
    <t>EMP-50560</t>
  </si>
  <si>
    <t>2012-03-21</t>
  </si>
  <si>
    <t>EMP-50561</t>
  </si>
  <si>
    <t>2014-08-17</t>
  </si>
  <si>
    <t>EMP-50562</t>
  </si>
  <si>
    <t>2013-05-19</t>
  </si>
  <si>
    <t>EMP-50563</t>
  </si>
  <si>
    <t>2019-02-23</t>
  </si>
  <si>
    <t>EMP-50564</t>
  </si>
  <si>
    <t>2015-02-06</t>
  </si>
  <si>
    <t>EMP-50565</t>
  </si>
  <si>
    <t>2021-08-25</t>
  </si>
  <si>
    <t>EMP-50566</t>
  </si>
  <si>
    <t>2017-11-01</t>
  </si>
  <si>
    <t>EMP-50567</t>
  </si>
  <si>
    <t>2020-08-02</t>
  </si>
  <si>
    <t>2023-03-20</t>
  </si>
  <si>
    <t>EMP-50568</t>
  </si>
  <si>
    <t>2011-08-13</t>
  </si>
  <si>
    <t>EMP-50569</t>
  </si>
  <si>
    <t>2023-06-26</t>
  </si>
  <si>
    <t>EMP-50570</t>
  </si>
  <si>
    <t>2023-05-24</t>
  </si>
  <si>
    <t>EMP-50571</t>
  </si>
  <si>
    <t>2019-09-13</t>
  </si>
  <si>
    <t>EMP-50572</t>
  </si>
  <si>
    <t>2015-09-14</t>
  </si>
  <si>
    <t>EMP-50573</t>
  </si>
  <si>
    <t>EMP-50574</t>
  </si>
  <si>
    <t>2015-09-12</t>
  </si>
  <si>
    <t>EMP-50575</t>
  </si>
  <si>
    <t>EMP-50576</t>
  </si>
  <si>
    <t>2021-12-01</t>
  </si>
  <si>
    <t>EMP-50577</t>
  </si>
  <si>
    <t>2019-10-18</t>
  </si>
  <si>
    <t>2020-10-11</t>
  </si>
  <si>
    <t>EMP-50578</t>
  </si>
  <si>
    <t>2020-09-17</t>
  </si>
  <si>
    <t>EMP-50579</t>
  </si>
  <si>
    <t>2019-02-09</t>
  </si>
  <si>
    <t>EMP-50580</t>
  </si>
  <si>
    <t>2017-10-10</t>
  </si>
  <si>
    <t>EMP-50581</t>
  </si>
  <si>
    <t>2017-02-23</t>
  </si>
  <si>
    <t>EMP-50582</t>
  </si>
  <si>
    <t>2012-08-23</t>
  </si>
  <si>
    <t>EMP-50583</t>
  </si>
  <si>
    <t>2017-01-05</t>
  </si>
  <si>
    <t>EMP-50584</t>
  </si>
  <si>
    <t>2015-05-01</t>
  </si>
  <si>
    <t>EMP-50585</t>
  </si>
  <si>
    <t>2022-12-22</t>
  </si>
  <si>
    <t>EMP-50586</t>
  </si>
  <si>
    <t>2020-03-15</t>
  </si>
  <si>
    <t>EMP-50587</t>
  </si>
  <si>
    <t>EMP-50588</t>
  </si>
  <si>
    <t>2019-04-25</t>
  </si>
  <si>
    <t>EMP-50589</t>
  </si>
  <si>
    <t>2018-12-10</t>
  </si>
  <si>
    <t>EMP-50590</t>
  </si>
  <si>
    <t>2010-11-07</t>
  </si>
  <si>
    <t>EMP-50591</t>
  </si>
  <si>
    <t>2023-05-17</t>
  </si>
  <si>
    <t>2024-06-05</t>
  </si>
  <si>
    <t>EMP-50592</t>
  </si>
  <si>
    <t>2014-05-11</t>
  </si>
  <si>
    <t>EMP-50593</t>
  </si>
  <si>
    <t>2013-07-12</t>
  </si>
  <si>
    <t>EMP-50594</t>
  </si>
  <si>
    <t>2014-05-12</t>
  </si>
  <si>
    <t>EMP-50595</t>
  </si>
  <si>
    <t>2019-09-12</t>
  </si>
  <si>
    <t>EMP-50596</t>
  </si>
  <si>
    <t>2022-05-15</t>
  </si>
  <si>
    <t>EMP-50597</t>
  </si>
  <si>
    <t>2020-08-26</t>
  </si>
  <si>
    <t>EMP-50598</t>
  </si>
  <si>
    <t>EMP-50599</t>
  </si>
  <si>
    <t>2015-07-15</t>
  </si>
  <si>
    <t>EMP-50600</t>
  </si>
  <si>
    <t>2023-06-18</t>
  </si>
  <si>
    <t>2023-08-26</t>
  </si>
  <si>
    <t>EMP-50601</t>
  </si>
  <si>
    <t>2019-06-13</t>
  </si>
  <si>
    <t>EMP-50602</t>
  </si>
  <si>
    <t>2023-12-05</t>
  </si>
  <si>
    <t>EMP-50603</t>
  </si>
  <si>
    <t>2013-12-05</t>
  </si>
  <si>
    <t>EMP-50604</t>
  </si>
  <si>
    <t>2017-02-12</t>
  </si>
  <si>
    <t>EMP-50605</t>
  </si>
  <si>
    <t>2014-01-15</t>
  </si>
  <si>
    <t>EMP-50606</t>
  </si>
  <si>
    <t>2020-07-29</t>
  </si>
  <si>
    <t>EMP-50607</t>
  </si>
  <si>
    <t>2020-12-08</t>
  </si>
  <si>
    <t>EMP-50608</t>
  </si>
  <si>
    <t>2022-04-21</t>
  </si>
  <si>
    <t>EMP-50609</t>
  </si>
  <si>
    <t>2010-09-21</t>
  </si>
  <si>
    <t>EMP-50610</t>
  </si>
  <si>
    <t>2013-11-20</t>
  </si>
  <si>
    <t>EMP-50611</t>
  </si>
  <si>
    <t>2019-08-16</t>
  </si>
  <si>
    <t>EMP-50612</t>
  </si>
  <si>
    <t>2011-03-19</t>
  </si>
  <si>
    <t>2012-05-24</t>
  </si>
  <si>
    <t>EMP-50613</t>
  </si>
  <si>
    <t>2024-03-05</t>
  </si>
  <si>
    <t>EMP-50614</t>
  </si>
  <si>
    <t>2023-10-14</t>
  </si>
  <si>
    <t>EMP-50615</t>
  </si>
  <si>
    <t>EMP-50616</t>
  </si>
  <si>
    <t>2019-06-09</t>
  </si>
  <si>
    <t>2021-07-05</t>
  </si>
  <si>
    <t>EMP-50617</t>
  </si>
  <si>
    <t>2022-07-07</t>
  </si>
  <si>
    <t>EMP-50618</t>
  </si>
  <si>
    <t>2010-10-04</t>
  </si>
  <si>
    <t>EMP-50619</t>
  </si>
  <si>
    <t>2015-05-21</t>
  </si>
  <si>
    <t>EMP-50620</t>
  </si>
  <si>
    <t>2013-11-08</t>
  </si>
  <si>
    <t>2015-08-19</t>
  </si>
  <si>
    <t>EMP-50621</t>
  </si>
  <si>
    <t>2020-03-01</t>
  </si>
  <si>
    <t>EMP-50622</t>
  </si>
  <si>
    <t>2020-09-29</t>
  </si>
  <si>
    <t>EMP-50623</t>
  </si>
  <si>
    <t>2021-11-08</t>
  </si>
  <si>
    <t>EMP-50624</t>
  </si>
  <si>
    <t>2013-03-12</t>
  </si>
  <si>
    <t>EMP-50625</t>
  </si>
  <si>
    <t>2022-03-25</t>
  </si>
  <si>
    <t>EMP-50626</t>
  </si>
  <si>
    <t>2014-11-11</t>
  </si>
  <si>
    <t>EMP-50627</t>
  </si>
  <si>
    <t>EMP-50628</t>
  </si>
  <si>
    <t>2010-05-06</t>
  </si>
  <si>
    <t>EMP-50629</t>
  </si>
  <si>
    <t>2021-12-29</t>
  </si>
  <si>
    <t>EMP-50630</t>
  </si>
  <si>
    <t>2022-11-21</t>
  </si>
  <si>
    <t>EMP-50631</t>
  </si>
  <si>
    <t>EMP-50632</t>
  </si>
  <si>
    <t>EMP-50633</t>
  </si>
  <si>
    <t>2011-05-26</t>
  </si>
  <si>
    <t>EMP-50634</t>
  </si>
  <si>
    <t>2012-12-30</t>
  </si>
  <si>
    <t>EMP-50635</t>
  </si>
  <si>
    <t>2011-12-06</t>
  </si>
  <si>
    <t>EMP-50636</t>
  </si>
  <si>
    <t>2013-08-08</t>
  </si>
  <si>
    <t>EMP-50637</t>
  </si>
  <si>
    <t>2014-07-17</t>
  </si>
  <si>
    <t>EMP-50638</t>
  </si>
  <si>
    <t>2010-04-02</t>
  </si>
  <si>
    <t>EMP-50639</t>
  </si>
  <si>
    <t>EMP-50640</t>
  </si>
  <si>
    <t>2010-03-09</t>
  </si>
  <si>
    <t>EMP-50641</t>
  </si>
  <si>
    <t>2018-09-10</t>
  </si>
  <si>
    <t>EMP-50642</t>
  </si>
  <si>
    <t>2012-10-27</t>
  </si>
  <si>
    <t>2021-04-10</t>
  </si>
  <si>
    <t>EMP-50643</t>
  </si>
  <si>
    <t>2017-03-29</t>
  </si>
  <si>
    <t>EMP-50644</t>
  </si>
  <si>
    <t>2013-09-13</t>
  </si>
  <si>
    <t>EMP-50645</t>
  </si>
  <si>
    <t>2018-10-19</t>
  </si>
  <si>
    <t>EMP-50646</t>
  </si>
  <si>
    <t>2020-10-27</t>
  </si>
  <si>
    <t>2023-03-30</t>
  </si>
  <si>
    <t>EMP-50647</t>
  </si>
  <si>
    <t>2010-01-07</t>
  </si>
  <si>
    <t>EMP-50648</t>
  </si>
  <si>
    <t>EMP-50649</t>
  </si>
  <si>
    <t>2020-06-05</t>
  </si>
  <si>
    <t>EMP-50650</t>
  </si>
  <si>
    <t>2018-01-05</t>
  </si>
  <si>
    <t>EMP-50651</t>
  </si>
  <si>
    <t>2017-02-18</t>
  </si>
  <si>
    <t>EMP-50652</t>
  </si>
  <si>
    <t>2017-06-25</t>
  </si>
  <si>
    <t>EMP-50653</t>
  </si>
  <si>
    <t>2013-12-11</t>
  </si>
  <si>
    <t>EMP-50654</t>
  </si>
  <si>
    <t>EMP-50655</t>
  </si>
  <si>
    <t>2020-01-13</t>
  </si>
  <si>
    <t>EMP-50656</t>
  </si>
  <si>
    <t>2023-05-13</t>
  </si>
  <si>
    <t>EMP-50657</t>
  </si>
  <si>
    <t>2017-05-29</t>
  </si>
  <si>
    <t>EMP-50658</t>
  </si>
  <si>
    <t>2019-11-30</t>
  </si>
  <si>
    <t>2021-12-24</t>
  </si>
  <si>
    <t>EMP-50659</t>
  </si>
  <si>
    <t>2019-01-22</t>
  </si>
  <si>
    <t>EMP-50660</t>
  </si>
  <si>
    <t>2020-04-04</t>
  </si>
  <si>
    <t>EMP-50661</t>
  </si>
  <si>
    <t>2011-09-21</t>
  </si>
  <si>
    <t>EMP-50662</t>
  </si>
  <si>
    <t>2021-11-05</t>
  </si>
  <si>
    <t>EMP-50663</t>
  </si>
  <si>
    <t>2020-02-13</t>
  </si>
  <si>
    <t>EMP-50664</t>
  </si>
  <si>
    <t>2018-12-16</t>
  </si>
  <si>
    <t>EMP-50665</t>
  </si>
  <si>
    <t>2023-05-15</t>
  </si>
  <si>
    <t>EMP-50666</t>
  </si>
  <si>
    <t>2012-07-14</t>
  </si>
  <si>
    <t>EMP-50667</t>
  </si>
  <si>
    <t>2020-07-11</t>
  </si>
  <si>
    <t>EMP-50668</t>
  </si>
  <si>
    <t>EMP-50669</t>
  </si>
  <si>
    <t>2010-07-16</t>
  </si>
  <si>
    <t>2013-03-19</t>
  </si>
  <si>
    <t>EMP-50670</t>
  </si>
  <si>
    <t>2020-10-03</t>
  </si>
  <si>
    <t>EMP-50671</t>
  </si>
  <si>
    <t>2018-08-31</t>
  </si>
  <si>
    <t>EMP-50672</t>
  </si>
  <si>
    <t>2020-01-17</t>
  </si>
  <si>
    <t>EMP-50673</t>
  </si>
  <si>
    <t>2014-03-27</t>
  </si>
  <si>
    <t>EMP-50674</t>
  </si>
  <si>
    <t>2019-10-02</t>
  </si>
  <si>
    <t>2023-09-28</t>
  </si>
  <si>
    <t>EMP-50675</t>
  </si>
  <si>
    <t>EMP-50676</t>
  </si>
  <si>
    <t>2022-09-26</t>
  </si>
  <si>
    <t>EMP-50677</t>
  </si>
  <si>
    <t>EMP-50678</t>
  </si>
  <si>
    <t>2021-12-15</t>
  </si>
  <si>
    <t>2023-09-10</t>
  </si>
  <si>
    <t>EMP-50679</t>
  </si>
  <si>
    <t>EMP-50680</t>
  </si>
  <si>
    <t>2022-07-08</t>
  </si>
  <si>
    <t>EMP-50681</t>
  </si>
  <si>
    <t>2015-08-16</t>
  </si>
  <si>
    <t>EMP-50682</t>
  </si>
  <si>
    <t>2022-08-14</t>
  </si>
  <si>
    <t>EMP-50683</t>
  </si>
  <si>
    <t>EMP-50684</t>
  </si>
  <si>
    <t>2019-10-11</t>
  </si>
  <si>
    <t>EMP-50685</t>
  </si>
  <si>
    <t>2016-04-13</t>
  </si>
  <si>
    <t>2021-04-18</t>
  </si>
  <si>
    <t>EMP-50686</t>
  </si>
  <si>
    <t>2014-11-08</t>
  </si>
  <si>
    <t>EMP-50687</t>
  </si>
  <si>
    <t>EMP-50688</t>
  </si>
  <si>
    <t>2017-10-05</t>
  </si>
  <si>
    <t>2019-02-14</t>
  </si>
  <si>
    <t>EMP-50689</t>
  </si>
  <si>
    <t>EMP-50690</t>
  </si>
  <si>
    <t>EMP-50691</t>
  </si>
  <si>
    <t>2011-02-07</t>
  </si>
  <si>
    <t>EMP-50692</t>
  </si>
  <si>
    <t>2010-02-11</t>
  </si>
  <si>
    <t>EMP-50693</t>
  </si>
  <si>
    <t>2013-05-26</t>
  </si>
  <si>
    <t>2015-08-03</t>
  </si>
  <si>
    <t>EMP-50694</t>
  </si>
  <si>
    <t>2011-10-01</t>
  </si>
  <si>
    <t>2014-11-05</t>
  </si>
  <si>
    <t>EMP-50695</t>
  </si>
  <si>
    <t>2017-10-08</t>
  </si>
  <si>
    <t>EMP-50696</t>
  </si>
  <si>
    <t>2010-08-27</t>
  </si>
  <si>
    <t>EMP-50697</t>
  </si>
  <si>
    <t>2019-12-19</t>
  </si>
  <si>
    <t>EMP-50698</t>
  </si>
  <si>
    <t>EMP-50699</t>
  </si>
  <si>
    <t>2011-03-21</t>
  </si>
  <si>
    <t>EMP-50700</t>
  </si>
  <si>
    <t>2019-09-23</t>
  </si>
  <si>
    <t>EMP-50701</t>
  </si>
  <si>
    <t>2014-12-15</t>
  </si>
  <si>
    <t>EMP-50702</t>
  </si>
  <si>
    <t>2014-04-17</t>
  </si>
  <si>
    <t>EMP-50703</t>
  </si>
  <si>
    <t>2012-07-10</t>
  </si>
  <si>
    <t>EMP-50704</t>
  </si>
  <si>
    <t>2015-03-25</t>
  </si>
  <si>
    <t>EMP-50705</t>
  </si>
  <si>
    <t>2021-03-03</t>
  </si>
  <si>
    <t>2023-12-27</t>
  </si>
  <si>
    <t>EMP-50706</t>
  </si>
  <si>
    <t>2023-10-02</t>
  </si>
  <si>
    <t>EMP-50707</t>
  </si>
  <si>
    <t>2021-12-21</t>
  </si>
  <si>
    <t>EMP-50708</t>
  </si>
  <si>
    <t>2013-08-14</t>
  </si>
  <si>
    <t>EMP-50709</t>
  </si>
  <si>
    <t>2011-01-15</t>
  </si>
  <si>
    <t>EMP-50710</t>
  </si>
  <si>
    <t>2012-05-25</t>
  </si>
  <si>
    <t>EMP-50711</t>
  </si>
  <si>
    <t>2023-05-22</t>
  </si>
  <si>
    <t>EMP-50712</t>
  </si>
  <si>
    <t>EMP-50713</t>
  </si>
  <si>
    <t>2010-12-03</t>
  </si>
  <si>
    <t>EMP-50714</t>
  </si>
  <si>
    <t>2011-10-27</t>
  </si>
  <si>
    <t>EMP-50715</t>
  </si>
  <si>
    <t>2016-07-11</t>
  </si>
  <si>
    <t>EMP-50716</t>
  </si>
  <si>
    <t>2016-05-25</t>
  </si>
  <si>
    <t>EMP-50717</t>
  </si>
  <si>
    <t>2017-08-30</t>
  </si>
  <si>
    <t>EMP-50718</t>
  </si>
  <si>
    <t>2016-01-07</t>
  </si>
  <si>
    <t>EMP-50719</t>
  </si>
  <si>
    <t>EMP-50720</t>
  </si>
  <si>
    <t>2020-12-03</t>
  </si>
  <si>
    <t>EMP-50721</t>
  </si>
  <si>
    <t>2012-08-17</t>
  </si>
  <si>
    <t>EMP-50722</t>
  </si>
  <si>
    <t>2019-03-16</t>
  </si>
  <si>
    <t>EMP-50723</t>
  </si>
  <si>
    <t>2016-03-19</t>
  </si>
  <si>
    <t>EMP-50724</t>
  </si>
  <si>
    <t>2010-07-17</t>
  </si>
  <si>
    <t>EMP-50725</t>
  </si>
  <si>
    <t>EMP-50726</t>
  </si>
  <si>
    <t>2013-10-27</t>
  </si>
  <si>
    <t>EMP-50727</t>
  </si>
  <si>
    <t>2019-08-09</t>
  </si>
  <si>
    <t>EMP-50728</t>
  </si>
  <si>
    <t>2023-06-07</t>
  </si>
  <si>
    <t>EMP-50729</t>
  </si>
  <si>
    <t>2017-04-29</t>
  </si>
  <si>
    <t>EMP-50730</t>
  </si>
  <si>
    <t>2013-01-12</t>
  </si>
  <si>
    <t>EMP-50731</t>
  </si>
  <si>
    <t>2017-03-15</t>
  </si>
  <si>
    <t>EMP-50732</t>
  </si>
  <si>
    <t>2022-12-11</t>
  </si>
  <si>
    <t>2023-07-23</t>
  </si>
  <si>
    <t>EMP-50733</t>
  </si>
  <si>
    <t>2011-01-25</t>
  </si>
  <si>
    <t>EMP-50734</t>
  </si>
  <si>
    <t>2018-05-02</t>
  </si>
  <si>
    <t>EMP-50735</t>
  </si>
  <si>
    <t>2015-12-25</t>
  </si>
  <si>
    <t>2020-11-11</t>
  </si>
  <si>
    <t>EMP-50736</t>
  </si>
  <si>
    <t>2013-10-07</t>
  </si>
  <si>
    <t>EMP-50737</t>
  </si>
  <si>
    <t>2010-07-05</t>
  </si>
  <si>
    <t>EMP-50738</t>
  </si>
  <si>
    <t>2018-02-04</t>
  </si>
  <si>
    <t>EMP-50739</t>
  </si>
  <si>
    <t>2010-12-24</t>
  </si>
  <si>
    <t>EMP-50740</t>
  </si>
  <si>
    <t>EMP-50741</t>
  </si>
  <si>
    <t>2020-06-15</t>
  </si>
  <si>
    <t>EMP-50742</t>
  </si>
  <si>
    <t>EMP-50743</t>
  </si>
  <si>
    <t>2019-09-25</t>
  </si>
  <si>
    <t>EMP-50744</t>
  </si>
  <si>
    <t>2018-07-12</t>
  </si>
  <si>
    <t>EMP-50745</t>
  </si>
  <si>
    <t>2012-06-10</t>
  </si>
  <si>
    <t>EMP-50746</t>
  </si>
  <si>
    <t>2011-07-15</t>
  </si>
  <si>
    <t>EMP-50747</t>
  </si>
  <si>
    <t>2017-12-14</t>
  </si>
  <si>
    <t>2018-05-03</t>
  </si>
  <si>
    <t>EMP-50748</t>
  </si>
  <si>
    <t>2017-05-23</t>
  </si>
  <si>
    <t>EMP-50749</t>
  </si>
  <si>
    <t>2015-02-04</t>
  </si>
  <si>
    <t>EMP-50750</t>
  </si>
  <si>
    <t>2020-06-29</t>
  </si>
  <si>
    <t>EMP-50751</t>
  </si>
  <si>
    <t>2018-08-19</t>
  </si>
  <si>
    <t>EMP-50752</t>
  </si>
  <si>
    <t>EMP-50753</t>
  </si>
  <si>
    <t>EMP-50754</t>
  </si>
  <si>
    <t>2020-12-05</t>
  </si>
  <si>
    <t>2024-02-08</t>
  </si>
  <si>
    <t>EMP-50755</t>
  </si>
  <si>
    <t>2019-08-21</t>
  </si>
  <si>
    <t>EMP-50756</t>
  </si>
  <si>
    <t>2023-03-29</t>
  </si>
  <si>
    <t>EMP-50757</t>
  </si>
  <si>
    <t>EMP-50758</t>
  </si>
  <si>
    <t>2014-11-17</t>
  </si>
  <si>
    <t>EMP-50759</t>
  </si>
  <si>
    <t>2017-02-25</t>
  </si>
  <si>
    <t>EMP-50760</t>
  </si>
  <si>
    <t>2012-01-14</t>
  </si>
  <si>
    <t>EMP-50761</t>
  </si>
  <si>
    <t>2022-06-30</t>
  </si>
  <si>
    <t>EMP-50762</t>
  </si>
  <si>
    <t>2012-07-23</t>
  </si>
  <si>
    <t>EMP-50763</t>
  </si>
  <si>
    <t>2014-10-14</t>
  </si>
  <si>
    <t>2021-08-20</t>
  </si>
  <si>
    <t>EMP-50764</t>
  </si>
  <si>
    <t>2024-03-18</t>
  </si>
  <si>
    <t>EMP-50765</t>
  </si>
  <si>
    <t>EMP-50766</t>
  </si>
  <si>
    <t>2010-06-19</t>
  </si>
  <si>
    <t>EMP-50767</t>
  </si>
  <si>
    <t>2012-06-07</t>
  </si>
  <si>
    <t>EMP-50768</t>
  </si>
  <si>
    <t>2021-02-01</t>
  </si>
  <si>
    <t>EMP-50769</t>
  </si>
  <si>
    <t>2015-03-27</t>
  </si>
  <si>
    <t>EMP-50770</t>
  </si>
  <si>
    <t>2018-03-14</t>
  </si>
  <si>
    <t>EMP-50771</t>
  </si>
  <si>
    <t>2016-11-14</t>
  </si>
  <si>
    <t>EMP-50772</t>
  </si>
  <si>
    <t>2018-09-21</t>
  </si>
  <si>
    <t>EMP-50773</t>
  </si>
  <si>
    <t>2016-02-17</t>
  </si>
  <si>
    <t>EMP-50774</t>
  </si>
  <si>
    <t>2023-03-26</t>
  </si>
  <si>
    <t>EMP-50775</t>
  </si>
  <si>
    <t>2022-01-07</t>
  </si>
  <si>
    <t>EMP-50776</t>
  </si>
  <si>
    <t>2017-04-18</t>
  </si>
  <si>
    <t>EMP-50777</t>
  </si>
  <si>
    <t>EMP-50778</t>
  </si>
  <si>
    <t>2011-09-28</t>
  </si>
  <si>
    <t>EMP-50779</t>
  </si>
  <si>
    <t>2010-06-22</t>
  </si>
  <si>
    <t>EMP-50780</t>
  </si>
  <si>
    <t>2013-08-26</t>
  </si>
  <si>
    <t>EMP-50781</t>
  </si>
  <si>
    <t>2022-12-27</t>
  </si>
  <si>
    <t>2024-05-29</t>
  </si>
  <si>
    <t>EMP-50782</t>
  </si>
  <si>
    <t>2012-01-15</t>
  </si>
  <si>
    <t>EMP-50783</t>
  </si>
  <si>
    <t>2021-09-23</t>
  </si>
  <si>
    <t>EMP-50784</t>
  </si>
  <si>
    <t>2021-04-06</t>
  </si>
  <si>
    <t>2021-11-09</t>
  </si>
  <si>
    <t>EMP-50785</t>
  </si>
  <si>
    <t>2022-08-22</t>
  </si>
  <si>
    <t>2024-05-21</t>
  </si>
  <si>
    <t>EMP-50786</t>
  </si>
  <si>
    <t>2016-09-14</t>
  </si>
  <si>
    <t>EMP-50787</t>
  </si>
  <si>
    <t>2022-11-30</t>
  </si>
  <si>
    <t>EMP-50788</t>
  </si>
  <si>
    <t>EMP-50789</t>
  </si>
  <si>
    <t>2018-03-30</t>
  </si>
  <si>
    <t>EMP-50790</t>
  </si>
  <si>
    <t>2010-07-15</t>
  </si>
  <si>
    <t>2022-02-05</t>
  </si>
  <si>
    <t>EMP-50791</t>
  </si>
  <si>
    <t>2021-12-05</t>
  </si>
  <si>
    <t>EMP-50792</t>
  </si>
  <si>
    <t>2017-11-04</t>
  </si>
  <si>
    <t>EMP-50793</t>
  </si>
  <si>
    <t>EMP-50794</t>
  </si>
  <si>
    <t>2011-08-22</t>
  </si>
  <si>
    <t>EMP-50795</t>
  </si>
  <si>
    <t>2010-03-23</t>
  </si>
  <si>
    <t>EMP-50796</t>
  </si>
  <si>
    <t>2019-03-20</t>
  </si>
  <si>
    <t>EMP-50797</t>
  </si>
  <si>
    <t>2019-10-03</t>
  </si>
  <si>
    <t>EMP-50798</t>
  </si>
  <si>
    <t>2020-07-06</t>
  </si>
  <si>
    <t>EMP-50799</t>
  </si>
  <si>
    <t>EMP-50800</t>
  </si>
  <si>
    <t>2016-04-26</t>
  </si>
  <si>
    <t>EMP-50801</t>
  </si>
  <si>
    <t>EMP-50802</t>
  </si>
  <si>
    <t>2014-01-08</t>
  </si>
  <si>
    <t>EMP-50803</t>
  </si>
  <si>
    <t>2015-09-25</t>
  </si>
  <si>
    <t>EMP-50804</t>
  </si>
  <si>
    <t>2019-11-12</t>
  </si>
  <si>
    <t>EMP-50805</t>
  </si>
  <si>
    <t>2020-07-28</t>
  </si>
  <si>
    <t>EMP-50806</t>
  </si>
  <si>
    <t>2015-04-29</t>
  </si>
  <si>
    <t>EMP-50807</t>
  </si>
  <si>
    <t>2024-02-20</t>
  </si>
  <si>
    <t>EMP-50808</t>
  </si>
  <si>
    <t>2012-04-15</t>
  </si>
  <si>
    <t>EMP-50809</t>
  </si>
  <si>
    <t>EMP-50810</t>
  </si>
  <si>
    <t>2019-02-26</t>
  </si>
  <si>
    <t>EMP-50811</t>
  </si>
  <si>
    <t>2022-03-03</t>
  </si>
  <si>
    <t>EMP-50812</t>
  </si>
  <si>
    <t>2011-12-17</t>
  </si>
  <si>
    <t>EMP-50813</t>
  </si>
  <si>
    <t>2022-10-31</t>
  </si>
  <si>
    <t>EMP-50814</t>
  </si>
  <si>
    <t>2017-04-04</t>
  </si>
  <si>
    <t>EMP-50815</t>
  </si>
  <si>
    <t>2021-05-17</t>
  </si>
  <si>
    <t>EMP-50816</t>
  </si>
  <si>
    <t>2014-05-22</t>
  </si>
  <si>
    <t>EMP-50817</t>
  </si>
  <si>
    <t>2023-02-01</t>
  </si>
  <si>
    <t>EMP-50818</t>
  </si>
  <si>
    <t>EMP-50819</t>
  </si>
  <si>
    <t>2021-04-29</t>
  </si>
  <si>
    <t>EMP-50820</t>
  </si>
  <si>
    <t>2019-10-24</t>
  </si>
  <si>
    <t>EMP-50821</t>
  </si>
  <si>
    <t>2012-07-25</t>
  </si>
  <si>
    <t>EMP-50822</t>
  </si>
  <si>
    <t>2024-03-14</t>
  </si>
  <si>
    <t>EMP-50823</t>
  </si>
  <si>
    <t>2010-10-16</t>
  </si>
  <si>
    <t>EMP-50824</t>
  </si>
  <si>
    <t>2015-08-20</t>
  </si>
  <si>
    <t>EMP-50825</t>
  </si>
  <si>
    <t>2015-05-30</t>
  </si>
  <si>
    <t>EMP-50826</t>
  </si>
  <si>
    <t>2023-10-25</t>
  </si>
  <si>
    <t>2023-12-29</t>
  </si>
  <si>
    <t>EMP-50827</t>
  </si>
  <si>
    <t>2015-03-01</t>
  </si>
  <si>
    <t>EMP-50828</t>
  </si>
  <si>
    <t>2020-06-03</t>
  </si>
  <si>
    <t>EMP-50829</t>
  </si>
  <si>
    <t>2010-09-20</t>
  </si>
  <si>
    <t>EMP-50830</t>
  </si>
  <si>
    <t>2013-04-09</t>
  </si>
  <si>
    <t>EMP-50831</t>
  </si>
  <si>
    <t>2020-04-01</t>
  </si>
  <si>
    <t>EMP-50832</t>
  </si>
  <si>
    <t>2016-02-03</t>
  </si>
  <si>
    <t>EMP-50833</t>
  </si>
  <si>
    <t>EMP-50834</t>
  </si>
  <si>
    <t>2013-12-08</t>
  </si>
  <si>
    <t>EMP-50835</t>
  </si>
  <si>
    <t>2023-10-16</t>
  </si>
  <si>
    <t>EMP-50836</t>
  </si>
  <si>
    <t>2019-06-27</t>
  </si>
  <si>
    <t>EMP-50837</t>
  </si>
  <si>
    <t>2013-12-15</t>
  </si>
  <si>
    <t>2017-02-10</t>
  </si>
  <si>
    <t>EMP-50838</t>
  </si>
  <si>
    <t>2013-02-22</t>
  </si>
  <si>
    <t>EMP-50839</t>
  </si>
  <si>
    <t>2022-08-27</t>
  </si>
  <si>
    <t>EMP-50840</t>
  </si>
  <si>
    <t>2015-06-14</t>
  </si>
  <si>
    <t>2024-05-22</t>
  </si>
  <si>
    <t>EMP-50841</t>
  </si>
  <si>
    <t>2011-02-25</t>
  </si>
  <si>
    <t>EMP-50842</t>
  </si>
  <si>
    <t>2021-03-30</t>
  </si>
  <si>
    <t>EMP-50843</t>
  </si>
  <si>
    <t>2020-05-06</t>
  </si>
  <si>
    <t>EMP-50844</t>
  </si>
  <si>
    <t>2021-08-17</t>
  </si>
  <si>
    <t>EMP-50845</t>
  </si>
  <si>
    <t>2012-06-02</t>
  </si>
  <si>
    <t>EMP-50846</t>
  </si>
  <si>
    <t>2018-07-17</t>
  </si>
  <si>
    <t>2019-07-17</t>
  </si>
  <si>
    <t>EMP-50847</t>
  </si>
  <si>
    <t>2013-01-27</t>
  </si>
  <si>
    <t>EMP-50848</t>
  </si>
  <si>
    <t>2014-11-26</t>
  </si>
  <si>
    <t>EMP-50849</t>
  </si>
  <si>
    <t>2016-09-30</t>
  </si>
  <si>
    <t>EMP-50850</t>
  </si>
  <si>
    <t>2022-09-11</t>
  </si>
  <si>
    <t>EMP-50851</t>
  </si>
  <si>
    <t>2022-03-30</t>
  </si>
  <si>
    <t>EMP-50852</t>
  </si>
  <si>
    <t>2021-08-22</t>
  </si>
  <si>
    <t>EMP-50853</t>
  </si>
  <si>
    <t>2011-08-05</t>
  </si>
  <si>
    <t>EMP-50854</t>
  </si>
  <si>
    <t>EMP-50855</t>
  </si>
  <si>
    <t>2018-04-29</t>
  </si>
  <si>
    <t>EMP-50856</t>
  </si>
  <si>
    <t>EMP-50857</t>
  </si>
  <si>
    <t>2014-09-19</t>
  </si>
  <si>
    <t>EMP-50858</t>
  </si>
  <si>
    <t>2023-09-23</t>
  </si>
  <si>
    <t>EMP-50859</t>
  </si>
  <si>
    <t>2023-06-01</t>
  </si>
  <si>
    <t>EMP-50860</t>
  </si>
  <si>
    <t>2012-09-29</t>
  </si>
  <si>
    <t>EMP-50861</t>
  </si>
  <si>
    <t>2015-05-11</t>
  </si>
  <si>
    <t>EMP-50862</t>
  </si>
  <si>
    <t>EMP-50863</t>
  </si>
  <si>
    <t>2013-09-23</t>
  </si>
  <si>
    <t>EMP-50864</t>
  </si>
  <si>
    <t>EMP-50865</t>
  </si>
  <si>
    <t>2013-02-04</t>
  </si>
  <si>
    <t>EMP-50866</t>
  </si>
  <si>
    <t>2017-01-10</t>
  </si>
  <si>
    <t>EMP-50867</t>
  </si>
  <si>
    <t>EMP-50868</t>
  </si>
  <si>
    <t>2014-05-30</t>
  </si>
  <si>
    <t>EMP-50869</t>
  </si>
  <si>
    <t>2022-10-23</t>
  </si>
  <si>
    <t>2023-04-05</t>
  </si>
  <si>
    <t>EMP-50870</t>
  </si>
  <si>
    <t>2022-10-04</t>
  </si>
  <si>
    <t>EMP-50871</t>
  </si>
  <si>
    <t>2010-02-16</t>
  </si>
  <si>
    <t>2022-05-27</t>
  </si>
  <si>
    <t>EMP-50872</t>
  </si>
  <si>
    <t>2013-12-18</t>
  </si>
  <si>
    <t>2018-10-20</t>
  </si>
  <si>
    <t>EMP-50873</t>
  </si>
  <si>
    <t>2015-03-10</t>
  </si>
  <si>
    <t>EMP-50874</t>
  </si>
  <si>
    <t>2021-04-04</t>
  </si>
  <si>
    <t>EMP-50875</t>
  </si>
  <si>
    <t>2021-10-02</t>
  </si>
  <si>
    <t>EMP-50876</t>
  </si>
  <si>
    <t>2024-02-21</t>
  </si>
  <si>
    <t>EMP-50877</t>
  </si>
  <si>
    <t>2013-01-11</t>
  </si>
  <si>
    <t>EMP-50878</t>
  </si>
  <si>
    <t>2019-01-05</t>
  </si>
  <si>
    <t>EMP-50879</t>
  </si>
  <si>
    <t>EMP-50880</t>
  </si>
  <si>
    <t>2021-07-21</t>
  </si>
  <si>
    <t>EMP-50881</t>
  </si>
  <si>
    <t>2014-03-24</t>
  </si>
  <si>
    <t>EMP-50882</t>
  </si>
  <si>
    <t>EMP-50883</t>
  </si>
  <si>
    <t>2012-11-20</t>
  </si>
  <si>
    <t>EMP-50884</t>
  </si>
  <si>
    <t>EMP-50885</t>
  </si>
  <si>
    <t>2018-08-30</t>
  </si>
  <si>
    <t>EMP-50886</t>
  </si>
  <si>
    <t>2016-06-12</t>
  </si>
  <si>
    <t>EMP-50887</t>
  </si>
  <si>
    <t>2015-04-17</t>
  </si>
  <si>
    <t>EMP-50888</t>
  </si>
  <si>
    <t>2021-01-21</t>
  </si>
  <si>
    <t>EMP-50889</t>
  </si>
  <si>
    <t>EMP-50890</t>
  </si>
  <si>
    <t>2011-02-20</t>
  </si>
  <si>
    <t>EMP-50891</t>
  </si>
  <si>
    <t>2010-07-28</t>
  </si>
  <si>
    <t>EMP-50892</t>
  </si>
  <si>
    <t>2021-02-28</t>
  </si>
  <si>
    <t>EMP-50893</t>
  </si>
  <si>
    <t>2016-08-06</t>
  </si>
  <si>
    <t>EMP-50894</t>
  </si>
  <si>
    <t>2018-10-18</t>
  </si>
  <si>
    <t>EMP-50895</t>
  </si>
  <si>
    <t>2011-02-13</t>
  </si>
  <si>
    <t>EMP-50896</t>
  </si>
  <si>
    <t>EMP-50897</t>
  </si>
  <si>
    <t>2017-01-22</t>
  </si>
  <si>
    <t>EMP-50898</t>
  </si>
  <si>
    <t>EMP-50899</t>
  </si>
  <si>
    <t>2012-01-16</t>
  </si>
  <si>
    <t>EMP-50900</t>
  </si>
  <si>
    <t>2021-09-29</t>
  </si>
  <si>
    <t>EMP-50901</t>
  </si>
  <si>
    <t>2010-07-27</t>
  </si>
  <si>
    <t>EMP-50902</t>
  </si>
  <si>
    <t>2015-11-15</t>
  </si>
  <si>
    <t>EMP-50903</t>
  </si>
  <si>
    <t>2012-10-17</t>
  </si>
  <si>
    <t>EMP-50904</t>
  </si>
  <si>
    <t>2022-03-29</t>
  </si>
  <si>
    <t>EMP-50905</t>
  </si>
  <si>
    <t>EMP-50906</t>
  </si>
  <si>
    <t>2022-03-08</t>
  </si>
  <si>
    <t>EMP-50907</t>
  </si>
  <si>
    <t>EMP-50908</t>
  </si>
  <si>
    <t>2012-09-17</t>
  </si>
  <si>
    <t>EMP-50909</t>
  </si>
  <si>
    <t>2010-04-11</t>
  </si>
  <si>
    <t>EMP-50910</t>
  </si>
  <si>
    <t>2013-06-21</t>
  </si>
  <si>
    <t>EMP-50911</t>
  </si>
  <si>
    <t>2019-09-08</t>
  </si>
  <si>
    <t>EMP-50912</t>
  </si>
  <si>
    <t>2010-07-08</t>
  </si>
  <si>
    <t>EMP-50913</t>
  </si>
  <si>
    <t>2017-01-04</t>
  </si>
  <si>
    <t>EMP-50914</t>
  </si>
  <si>
    <t>2011-10-23</t>
  </si>
  <si>
    <t>EMP-50915</t>
  </si>
  <si>
    <t>EMP-50916</t>
  </si>
  <si>
    <t>2013-03-21</t>
  </si>
  <si>
    <t>EMP-50917</t>
  </si>
  <si>
    <t>2019-12-02</t>
  </si>
  <si>
    <t>EMP-50918</t>
  </si>
  <si>
    <t>2014-06-20</t>
  </si>
  <si>
    <t>EMP-50919</t>
  </si>
  <si>
    <t>2017-10-23</t>
  </si>
  <si>
    <t>EMP-50920</t>
  </si>
  <si>
    <t>2010-04-15</t>
  </si>
  <si>
    <t>EMP-50921</t>
  </si>
  <si>
    <t>EMP-50922</t>
  </si>
  <si>
    <t>2020-01-01</t>
  </si>
  <si>
    <t>EMP-50923</t>
  </si>
  <si>
    <t>2022-10-11</t>
  </si>
  <si>
    <t>EMP-50924</t>
  </si>
  <si>
    <t>2024-01-26</t>
  </si>
  <si>
    <t>2024-04-11</t>
  </si>
  <si>
    <t>EMP-50925</t>
  </si>
  <si>
    <t>2011-05-20</t>
  </si>
  <si>
    <t>EMP-50926</t>
  </si>
  <si>
    <t>2010-05-29</t>
  </si>
  <si>
    <t>2011-01-31</t>
  </si>
  <si>
    <t>EMP-50927</t>
  </si>
  <si>
    <t>2020-02-08</t>
  </si>
  <si>
    <t>EMP-50928</t>
  </si>
  <si>
    <t>2023-05-16</t>
  </si>
  <si>
    <t>EMP-50929</t>
  </si>
  <si>
    <t>2010-04-12</t>
  </si>
  <si>
    <t>EMP-50930</t>
  </si>
  <si>
    <t>2013-02-28</t>
  </si>
  <si>
    <t>EMP-50931</t>
  </si>
  <si>
    <t>2020-09-15</t>
  </si>
  <si>
    <t>EMP-50932</t>
  </si>
  <si>
    <t>2010-09-13</t>
  </si>
  <si>
    <t>EMP-50933</t>
  </si>
  <si>
    <t>EMP-50934</t>
  </si>
  <si>
    <t>2010-01-13</t>
  </si>
  <si>
    <t>EMP-50935</t>
  </si>
  <si>
    <t>2010-09-22</t>
  </si>
  <si>
    <t>EMP-50936</t>
  </si>
  <si>
    <t>2014-09-30</t>
  </si>
  <si>
    <t>EMP-50937</t>
  </si>
  <si>
    <t>EMP-50938</t>
  </si>
  <si>
    <t>2014-08-13</t>
  </si>
  <si>
    <t>EMP-50939</t>
  </si>
  <si>
    <t>2019-11-13</t>
  </si>
  <si>
    <t>EMP-50940</t>
  </si>
  <si>
    <t>2012-01-25</t>
  </si>
  <si>
    <t>EMP-50941</t>
  </si>
  <si>
    <t>2013-12-30</t>
  </si>
  <si>
    <t>EMP-50942</t>
  </si>
  <si>
    <t>2010-11-29</t>
  </si>
  <si>
    <t>EMP-50943</t>
  </si>
  <si>
    <t>2023-07-29</t>
  </si>
  <si>
    <t>EMP-50944</t>
  </si>
  <si>
    <t>2020-12-21</t>
  </si>
  <si>
    <t>EMP-50945</t>
  </si>
  <si>
    <t>2010-01-29</t>
  </si>
  <si>
    <t>EMP-50946</t>
  </si>
  <si>
    <t>EMP-50947</t>
  </si>
  <si>
    <t>2019-04-22</t>
  </si>
  <si>
    <t>EMP-50948</t>
  </si>
  <si>
    <t>EMP-50949</t>
  </si>
  <si>
    <t>2015-10-14</t>
  </si>
  <si>
    <t>2022-03-07</t>
  </si>
  <si>
    <t>EMP-50950</t>
  </si>
  <si>
    <t>EMP-50951</t>
  </si>
  <si>
    <t>2019-09-22</t>
  </si>
  <si>
    <t>EMP-50952</t>
  </si>
  <si>
    <t>2021-08-24</t>
  </si>
  <si>
    <t>EMP-50953</t>
  </si>
  <si>
    <t>EMP-50954</t>
  </si>
  <si>
    <t>2012-03-15</t>
  </si>
  <si>
    <t>EMP-50955</t>
  </si>
  <si>
    <t>2013-06-24</t>
  </si>
  <si>
    <t>EMP-50956</t>
  </si>
  <si>
    <t>2016-04-07</t>
  </si>
  <si>
    <t>2024-01-05</t>
  </si>
  <si>
    <t>EMP-50957</t>
  </si>
  <si>
    <t>2019-08-17</t>
  </si>
  <si>
    <t>EMP-50958</t>
  </si>
  <si>
    <t>2017-08-24</t>
  </si>
  <si>
    <t>EMP-50959</t>
  </si>
  <si>
    <t>2022-07-11</t>
  </si>
  <si>
    <t>EMP-50960</t>
  </si>
  <si>
    <t>2018-11-11</t>
  </si>
  <si>
    <t>EMP-50961</t>
  </si>
  <si>
    <t>2020-03-19</t>
  </si>
  <si>
    <t>EMP-50962</t>
  </si>
  <si>
    <t>EMP-50963</t>
  </si>
  <si>
    <t>2010-07-29</t>
  </si>
  <si>
    <t>2014-11-18</t>
  </si>
  <si>
    <t>EMP-50964</t>
  </si>
  <si>
    <t>2015-06-17</t>
  </si>
  <si>
    <t>EMP-50965</t>
  </si>
  <si>
    <t>2011-07-30</t>
  </si>
  <si>
    <t>EMP-50966</t>
  </si>
  <si>
    <t>2020-08-21</t>
  </si>
  <si>
    <t>2024-04-24</t>
  </si>
  <si>
    <t>EMP-50967</t>
  </si>
  <si>
    <t>2015-02-07</t>
  </si>
  <si>
    <t>EMP-50968</t>
  </si>
  <si>
    <t>2010-07-22</t>
  </si>
  <si>
    <t>EMP-50969</t>
  </si>
  <si>
    <t>2014-05-21</t>
  </si>
  <si>
    <t>EMP-50970</t>
  </si>
  <si>
    <t>2019-05-14</t>
  </si>
  <si>
    <t>2021-11-22</t>
  </si>
  <si>
    <t>EMP-50971</t>
  </si>
  <si>
    <t>2015-12-09</t>
  </si>
  <si>
    <t>EMP-50972</t>
  </si>
  <si>
    <t>EMP-50973</t>
  </si>
  <si>
    <t>2010-09-01</t>
  </si>
  <si>
    <t>2013-10-24</t>
  </si>
  <si>
    <t>EMP-50974</t>
  </si>
  <si>
    <t>EMP-50975</t>
  </si>
  <si>
    <t>EMP-50976</t>
  </si>
  <si>
    <t>2017-01-30</t>
  </si>
  <si>
    <t>EMP-50977</t>
  </si>
  <si>
    <t>EMP-50978</t>
  </si>
  <si>
    <t>2017-10-15</t>
  </si>
  <si>
    <t>EMP-50979</t>
  </si>
  <si>
    <t>2010-12-13</t>
  </si>
  <si>
    <t>EMP-50980</t>
  </si>
  <si>
    <t>2018-05-14</t>
  </si>
  <si>
    <t>EMP-50981</t>
  </si>
  <si>
    <t>2017-03-18</t>
  </si>
  <si>
    <t>EMP-50982</t>
  </si>
  <si>
    <t>2016-07-15</t>
  </si>
  <si>
    <t>EMP-50983</t>
  </si>
  <si>
    <t>EMP-50984</t>
  </si>
  <si>
    <t>2019-05-26</t>
  </si>
  <si>
    <t>EMP-50985</t>
  </si>
  <si>
    <t>2014-01-23</t>
  </si>
  <si>
    <t>EMP-50986</t>
  </si>
  <si>
    <t>EMP-50987</t>
  </si>
  <si>
    <t>2010-06-27</t>
  </si>
  <si>
    <t>EMP-50988</t>
  </si>
  <si>
    <t>2015-11-23</t>
  </si>
  <si>
    <t>EMP-50989</t>
  </si>
  <si>
    <t>2018-06-04</t>
  </si>
  <si>
    <t>EMP-50990</t>
  </si>
  <si>
    <t>2011-08-29</t>
  </si>
  <si>
    <t>EMP-50991</t>
  </si>
  <si>
    <t>2011-09-08</t>
  </si>
  <si>
    <t>EMP-50992</t>
  </si>
  <si>
    <t>EMP-50993</t>
  </si>
  <si>
    <t>2018-01-15</t>
  </si>
  <si>
    <t>2018-03-29</t>
  </si>
  <si>
    <t>EMP-50994</t>
  </si>
  <si>
    <t>EMP-50995</t>
  </si>
  <si>
    <t>2016-10-28</t>
  </si>
  <si>
    <t>EMP-50996</t>
  </si>
  <si>
    <t>EMP-50997</t>
  </si>
  <si>
    <t>2017-10-22</t>
  </si>
  <si>
    <t>EMP-50998</t>
  </si>
  <si>
    <t>2012-03-07</t>
  </si>
  <si>
    <t>2015-09-29</t>
  </si>
  <si>
    <t>EMP-50999</t>
  </si>
  <si>
    <t>2017-01-09</t>
  </si>
  <si>
    <t>Target Conditons</t>
  </si>
  <si>
    <t>AND</t>
  </si>
  <si>
    <t>OR</t>
  </si>
  <si>
    <t>Pramotion (And)</t>
  </si>
  <si>
    <t>Pramotion(Or)</t>
  </si>
  <si>
    <t>Sales Category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</si>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</sst>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4" fontId="0" fillId="4" borderId="0" xfId="0" applyNumberFormat="1" applyFill="1"/>
    <xf numFmtId="165" fontId="0" fillId="4" borderId="0" xfId="1" applyNumberFormat="1" applyFont="1" applyFill="1"/>
    <xf numFmtId="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right"/>
    </xf>
    <xf numFmtId="9" fontId="0" fillId="0" borderId="0" xfId="0" applyNumberFormat="1"/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2" fillId="3" borderId="1" xfId="3" applyBorder="1" applyAlignment="1">
      <alignment horizontal="center"/>
    </xf>
    <xf numFmtId="0" fontId="2" fillId="2" borderId="0" xfId="2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5" borderId="0" xfId="0" applyFont="1" applyFill="1" applyBorder="1" applyAlignment="1">
      <alignment horizontal="center" vertical="top"/>
    </xf>
    <xf numFmtId="0" fontId="0" fillId="5" borderId="0" xfId="0" applyFill="1"/>
    <xf numFmtId="0" fontId="1" fillId="0" borderId="0" xfId="0" applyFont="1" applyFill="1" applyBorder="1" applyAlignment="1">
      <alignment horizontal="center" vertical="top"/>
    </xf>
  </cellXfs>
  <cellStyles count="4">
    <cellStyle name="20% - Accent1" xfId="2" builtinId="30"/>
    <cellStyle name="60% - Accent1" xfId="3" builtinId="32"/>
    <cellStyle name="Comma" xfId="1" builtinId="3"/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zoomScale="90" workbookViewId="0">
      <selection activeCell="B1" sqref="B1:D1"/>
    </sheetView>
  </sheetViews>
  <sheetFormatPr defaultRowHeight="14.5"/>
  <cols>
    <col min="1" max="1" width="5.453125" bestFit="1" customWidth="1"/>
    <col min="2" max="2" width="12.26953125" bestFit="1" customWidth="1"/>
    <col min="3" max="3" width="13.08984375" bestFit="1" customWidth="1"/>
    <col min="4" max="4" width="12.6328125" bestFit="1" customWidth="1"/>
    <col min="5" max="5" width="12.6328125" customWidth="1"/>
    <col min="6" max="6" width="56.36328125" bestFit="1" customWidth="1"/>
  </cols>
  <sheetData>
    <row r="1" spans="1:6">
      <c r="A1" s="1" t="s">
        <v>0</v>
      </c>
      <c r="B1" s="22" t="s">
        <v>79</v>
      </c>
      <c r="C1" s="22" t="s">
        <v>80</v>
      </c>
      <c r="D1" s="22" t="s">
        <v>81</v>
      </c>
      <c r="E1" s="22"/>
    </row>
    <row r="2" spans="1:6" ht="23.5">
      <c r="A2">
        <v>0</v>
      </c>
      <c r="B2" t="str">
        <f>IF(A2&gt;=40,"Pass","Fail")</f>
        <v>Fail</v>
      </c>
      <c r="C2" t="str">
        <f>IF(A2&gt;=90,"Excellent","Try Again")</f>
        <v>Try Again</v>
      </c>
      <c r="D2" t="str">
        <f>IF(A2=0,"Absent","Present")</f>
        <v>Absent</v>
      </c>
      <c r="F2" s="10" t="s">
        <v>52</v>
      </c>
    </row>
    <row r="3" spans="1:6">
      <c r="A3">
        <v>92</v>
      </c>
      <c r="B3" t="str">
        <f t="shared" ref="B3:B66" si="0">IF(A3&gt;=40,"Pass","Fail")</f>
        <v>Pass</v>
      </c>
      <c r="C3" t="str">
        <f t="shared" ref="C3:C66" si="1">IF(A3&gt;=90,"Excellent","Try Again")</f>
        <v>Excellent</v>
      </c>
      <c r="D3" t="str">
        <f t="shared" ref="D3:D66" si="2">IF(A3=0,"Absent","Present")</f>
        <v>Present</v>
      </c>
    </row>
    <row r="4" spans="1:6">
      <c r="A4">
        <v>14</v>
      </c>
      <c r="B4" t="str">
        <f t="shared" si="0"/>
        <v>Fail</v>
      </c>
      <c r="C4" t="str">
        <f t="shared" si="1"/>
        <v>Try Again</v>
      </c>
      <c r="D4" t="str">
        <f t="shared" si="2"/>
        <v>Present</v>
      </c>
      <c r="F4" t="s">
        <v>53</v>
      </c>
    </row>
    <row r="5" spans="1:6">
      <c r="A5">
        <v>71</v>
      </c>
      <c r="B5" t="str">
        <f t="shared" si="0"/>
        <v>Pass</v>
      </c>
      <c r="C5" t="str">
        <f t="shared" si="1"/>
        <v>Try Again</v>
      </c>
      <c r="D5" t="str">
        <f t="shared" si="2"/>
        <v>Present</v>
      </c>
      <c r="F5" s="11"/>
    </row>
    <row r="6" spans="1:6">
      <c r="A6">
        <v>60</v>
      </c>
      <c r="B6" t="str">
        <f t="shared" si="0"/>
        <v>Pass</v>
      </c>
      <c r="C6" t="str">
        <f t="shared" si="1"/>
        <v>Try Again</v>
      </c>
      <c r="D6" t="str">
        <f t="shared" si="2"/>
        <v>Present</v>
      </c>
      <c r="F6" s="11" t="s">
        <v>54</v>
      </c>
    </row>
    <row r="7" spans="1:6">
      <c r="A7">
        <v>20</v>
      </c>
      <c r="B7" t="str">
        <f t="shared" si="0"/>
        <v>Fail</v>
      </c>
      <c r="C7" t="str">
        <f t="shared" si="1"/>
        <v>Try Again</v>
      </c>
      <c r="D7" t="str">
        <f t="shared" si="2"/>
        <v>Present</v>
      </c>
      <c r="F7" s="11"/>
    </row>
    <row r="8" spans="1:6">
      <c r="A8">
        <v>0</v>
      </c>
      <c r="B8" t="str">
        <f t="shared" si="0"/>
        <v>Fail</v>
      </c>
      <c r="C8" t="str">
        <f t="shared" si="1"/>
        <v>Try Again</v>
      </c>
      <c r="D8" t="str">
        <f t="shared" si="2"/>
        <v>Absent</v>
      </c>
      <c r="F8" s="11" t="s">
        <v>55</v>
      </c>
    </row>
    <row r="9" spans="1:6">
      <c r="A9">
        <v>86</v>
      </c>
      <c r="B9" t="str">
        <f t="shared" si="0"/>
        <v>Pass</v>
      </c>
      <c r="C9" t="str">
        <f t="shared" si="1"/>
        <v>Try Again</v>
      </c>
      <c r="D9" t="str">
        <f t="shared" si="2"/>
        <v>Present</v>
      </c>
      <c r="F9" s="11"/>
    </row>
    <row r="10" spans="1:6">
      <c r="A10">
        <v>74</v>
      </c>
      <c r="B10" t="str">
        <f t="shared" si="0"/>
        <v>Pass</v>
      </c>
      <c r="C10" t="str">
        <f t="shared" si="1"/>
        <v>Try Again</v>
      </c>
      <c r="D10" t="str">
        <f t="shared" si="2"/>
        <v>Present</v>
      </c>
      <c r="F10" s="11" t="s">
        <v>56</v>
      </c>
    </row>
    <row r="11" spans="1:6">
      <c r="A11">
        <v>74</v>
      </c>
      <c r="B11" t="str">
        <f t="shared" si="0"/>
        <v>Pass</v>
      </c>
      <c r="C11" t="str">
        <f t="shared" si="1"/>
        <v>Try Again</v>
      </c>
      <c r="D11" t="str">
        <f t="shared" si="2"/>
        <v>Present</v>
      </c>
    </row>
    <row r="12" spans="1:6">
      <c r="A12">
        <v>87</v>
      </c>
      <c r="B12" t="str">
        <f t="shared" si="0"/>
        <v>Pass</v>
      </c>
      <c r="C12" t="str">
        <f t="shared" si="1"/>
        <v>Try Again</v>
      </c>
      <c r="D12" t="str">
        <f t="shared" si="2"/>
        <v>Present</v>
      </c>
    </row>
    <row r="13" spans="1:6">
      <c r="A13">
        <v>99</v>
      </c>
      <c r="B13" t="str">
        <f t="shared" si="0"/>
        <v>Pass</v>
      </c>
      <c r="C13" t="str">
        <f t="shared" si="1"/>
        <v>Excellent</v>
      </c>
      <c r="D13" t="str">
        <f t="shared" si="2"/>
        <v>Present</v>
      </c>
    </row>
    <row r="14" spans="1:6">
      <c r="A14">
        <v>0</v>
      </c>
      <c r="B14" t="str">
        <f t="shared" si="0"/>
        <v>Fail</v>
      </c>
      <c r="C14" t="str">
        <f t="shared" si="1"/>
        <v>Try Again</v>
      </c>
      <c r="D14" t="str">
        <f t="shared" si="2"/>
        <v>Absent</v>
      </c>
    </row>
    <row r="15" spans="1:6">
      <c r="A15">
        <v>2</v>
      </c>
      <c r="B15" t="str">
        <f t="shared" si="0"/>
        <v>Fail</v>
      </c>
      <c r="C15" t="str">
        <f t="shared" si="1"/>
        <v>Try Again</v>
      </c>
      <c r="D15" t="str">
        <f t="shared" si="2"/>
        <v>Present</v>
      </c>
    </row>
    <row r="16" spans="1:6">
      <c r="A16">
        <v>21</v>
      </c>
      <c r="B16" t="str">
        <f t="shared" si="0"/>
        <v>Fail</v>
      </c>
      <c r="C16" t="str">
        <f t="shared" si="1"/>
        <v>Try Again</v>
      </c>
      <c r="D16" t="str">
        <f t="shared" si="2"/>
        <v>Present</v>
      </c>
    </row>
    <row r="17" spans="1:4">
      <c r="A17">
        <v>52</v>
      </c>
      <c r="B17" t="str">
        <f t="shared" si="0"/>
        <v>Pass</v>
      </c>
      <c r="C17" t="str">
        <f t="shared" si="1"/>
        <v>Try Again</v>
      </c>
      <c r="D17" t="str">
        <f t="shared" si="2"/>
        <v>Present</v>
      </c>
    </row>
    <row r="18" spans="1:4">
      <c r="A18">
        <v>1</v>
      </c>
      <c r="B18" t="str">
        <f t="shared" si="0"/>
        <v>Fail</v>
      </c>
      <c r="C18" t="str">
        <f t="shared" si="1"/>
        <v>Try Again</v>
      </c>
      <c r="D18" t="str">
        <f t="shared" si="2"/>
        <v>Present</v>
      </c>
    </row>
    <row r="19" spans="1:4">
      <c r="A19">
        <v>87</v>
      </c>
      <c r="B19" t="str">
        <f t="shared" si="0"/>
        <v>Pass</v>
      </c>
      <c r="C19" t="str">
        <f t="shared" si="1"/>
        <v>Try Again</v>
      </c>
      <c r="D19" t="str">
        <f t="shared" si="2"/>
        <v>Present</v>
      </c>
    </row>
    <row r="20" spans="1:4">
      <c r="A20">
        <v>29</v>
      </c>
      <c r="B20" t="str">
        <f t="shared" si="0"/>
        <v>Fail</v>
      </c>
      <c r="C20" t="str">
        <f t="shared" si="1"/>
        <v>Try Again</v>
      </c>
      <c r="D20" t="str">
        <f t="shared" si="2"/>
        <v>Present</v>
      </c>
    </row>
    <row r="21" spans="1:4">
      <c r="A21">
        <v>37</v>
      </c>
      <c r="B21" t="str">
        <f t="shared" si="0"/>
        <v>Fail</v>
      </c>
      <c r="C21" t="str">
        <f t="shared" si="1"/>
        <v>Try Again</v>
      </c>
      <c r="D21" t="str">
        <f t="shared" si="2"/>
        <v>Present</v>
      </c>
    </row>
    <row r="22" spans="1:4">
      <c r="A22">
        <v>1</v>
      </c>
      <c r="B22" t="str">
        <f t="shared" si="0"/>
        <v>Fail</v>
      </c>
      <c r="C22" t="str">
        <f t="shared" si="1"/>
        <v>Try Again</v>
      </c>
      <c r="D22" t="str">
        <f t="shared" si="2"/>
        <v>Present</v>
      </c>
    </row>
    <row r="23" spans="1:4">
      <c r="A23">
        <v>63</v>
      </c>
      <c r="B23" t="str">
        <f t="shared" si="0"/>
        <v>Pass</v>
      </c>
      <c r="C23" t="str">
        <f t="shared" si="1"/>
        <v>Try Again</v>
      </c>
      <c r="D23" t="str">
        <f t="shared" si="2"/>
        <v>Present</v>
      </c>
    </row>
    <row r="24" spans="1:4">
      <c r="A24">
        <v>59</v>
      </c>
      <c r="B24" t="str">
        <f t="shared" si="0"/>
        <v>Pass</v>
      </c>
      <c r="C24" t="str">
        <f t="shared" si="1"/>
        <v>Try Again</v>
      </c>
      <c r="D24" t="str">
        <f t="shared" si="2"/>
        <v>Present</v>
      </c>
    </row>
    <row r="25" spans="1:4">
      <c r="A25">
        <v>20</v>
      </c>
      <c r="B25" t="str">
        <f t="shared" si="0"/>
        <v>Fail</v>
      </c>
      <c r="C25" t="str">
        <f t="shared" si="1"/>
        <v>Try Again</v>
      </c>
      <c r="D25" t="str">
        <f t="shared" si="2"/>
        <v>Present</v>
      </c>
    </row>
    <row r="26" spans="1:4">
      <c r="A26">
        <v>32</v>
      </c>
      <c r="B26" t="str">
        <f t="shared" si="0"/>
        <v>Fail</v>
      </c>
      <c r="C26" t="str">
        <f t="shared" si="1"/>
        <v>Try Again</v>
      </c>
      <c r="D26" t="str">
        <f t="shared" si="2"/>
        <v>Present</v>
      </c>
    </row>
    <row r="27" spans="1:4">
      <c r="A27">
        <v>75</v>
      </c>
      <c r="B27" t="str">
        <f t="shared" si="0"/>
        <v>Pass</v>
      </c>
      <c r="C27" t="str">
        <f t="shared" si="1"/>
        <v>Try Again</v>
      </c>
      <c r="D27" t="str">
        <f t="shared" si="2"/>
        <v>Present</v>
      </c>
    </row>
    <row r="28" spans="1:4">
      <c r="A28">
        <v>57</v>
      </c>
      <c r="B28" t="str">
        <f t="shared" si="0"/>
        <v>Pass</v>
      </c>
      <c r="C28" t="str">
        <f t="shared" si="1"/>
        <v>Try Again</v>
      </c>
      <c r="D28" t="str">
        <f t="shared" si="2"/>
        <v>Present</v>
      </c>
    </row>
    <row r="29" spans="1:4">
      <c r="A29">
        <v>21</v>
      </c>
      <c r="B29" t="str">
        <f t="shared" si="0"/>
        <v>Fail</v>
      </c>
      <c r="C29" t="str">
        <f t="shared" si="1"/>
        <v>Try Again</v>
      </c>
      <c r="D29" t="str">
        <f t="shared" si="2"/>
        <v>Present</v>
      </c>
    </row>
    <row r="30" spans="1:4">
      <c r="A30">
        <v>88</v>
      </c>
      <c r="B30" t="str">
        <f t="shared" si="0"/>
        <v>Pass</v>
      </c>
      <c r="C30" t="str">
        <f t="shared" si="1"/>
        <v>Try Again</v>
      </c>
      <c r="D30" t="str">
        <f t="shared" si="2"/>
        <v>Present</v>
      </c>
    </row>
    <row r="31" spans="1:4">
      <c r="A31">
        <v>48</v>
      </c>
      <c r="B31" t="str">
        <f t="shared" si="0"/>
        <v>Pass</v>
      </c>
      <c r="C31" t="str">
        <f t="shared" si="1"/>
        <v>Try Again</v>
      </c>
      <c r="D31" t="str">
        <f t="shared" si="2"/>
        <v>Present</v>
      </c>
    </row>
    <row r="32" spans="1:4">
      <c r="A32">
        <v>90</v>
      </c>
      <c r="B32" t="str">
        <f t="shared" si="0"/>
        <v>Pass</v>
      </c>
      <c r="C32" t="str">
        <f t="shared" si="1"/>
        <v>Excellent</v>
      </c>
      <c r="D32" t="str">
        <f t="shared" si="2"/>
        <v>Present</v>
      </c>
    </row>
    <row r="33" spans="1:4">
      <c r="A33">
        <v>58</v>
      </c>
      <c r="B33" t="str">
        <f t="shared" si="0"/>
        <v>Pass</v>
      </c>
      <c r="C33" t="str">
        <f t="shared" si="1"/>
        <v>Try Again</v>
      </c>
      <c r="D33" t="str">
        <f t="shared" si="2"/>
        <v>Present</v>
      </c>
    </row>
    <row r="34" spans="1:4">
      <c r="A34">
        <v>41</v>
      </c>
      <c r="B34" t="str">
        <f t="shared" si="0"/>
        <v>Pass</v>
      </c>
      <c r="C34" t="str">
        <f t="shared" si="1"/>
        <v>Try Again</v>
      </c>
      <c r="D34" t="str">
        <f t="shared" si="2"/>
        <v>Present</v>
      </c>
    </row>
    <row r="35" spans="1:4">
      <c r="A35">
        <v>91</v>
      </c>
      <c r="B35" t="str">
        <f t="shared" si="0"/>
        <v>Pass</v>
      </c>
      <c r="C35" t="str">
        <f t="shared" si="1"/>
        <v>Excellent</v>
      </c>
      <c r="D35" t="str">
        <f t="shared" si="2"/>
        <v>Present</v>
      </c>
    </row>
    <row r="36" spans="1:4">
      <c r="A36">
        <v>59</v>
      </c>
      <c r="B36" t="str">
        <f t="shared" si="0"/>
        <v>Pass</v>
      </c>
      <c r="C36" t="str">
        <f t="shared" si="1"/>
        <v>Try Again</v>
      </c>
      <c r="D36" t="str">
        <f t="shared" si="2"/>
        <v>Present</v>
      </c>
    </row>
    <row r="37" spans="1:4">
      <c r="A37">
        <v>79</v>
      </c>
      <c r="B37" t="str">
        <f t="shared" si="0"/>
        <v>Pass</v>
      </c>
      <c r="C37" t="str">
        <f t="shared" si="1"/>
        <v>Try Again</v>
      </c>
      <c r="D37" t="str">
        <f t="shared" si="2"/>
        <v>Present</v>
      </c>
    </row>
    <row r="38" spans="1:4">
      <c r="A38">
        <v>14</v>
      </c>
      <c r="B38" t="str">
        <f t="shared" si="0"/>
        <v>Fail</v>
      </c>
      <c r="C38" t="str">
        <f t="shared" si="1"/>
        <v>Try Again</v>
      </c>
      <c r="D38" t="str">
        <f t="shared" si="2"/>
        <v>Present</v>
      </c>
    </row>
    <row r="39" spans="1:4">
      <c r="A39">
        <v>61</v>
      </c>
      <c r="B39" t="str">
        <f t="shared" si="0"/>
        <v>Pass</v>
      </c>
      <c r="C39" t="str">
        <f t="shared" si="1"/>
        <v>Try Again</v>
      </c>
      <c r="D39" t="str">
        <f t="shared" si="2"/>
        <v>Present</v>
      </c>
    </row>
    <row r="40" spans="1:4">
      <c r="A40">
        <v>61</v>
      </c>
      <c r="B40" t="str">
        <f t="shared" si="0"/>
        <v>Pass</v>
      </c>
      <c r="C40" t="str">
        <f t="shared" si="1"/>
        <v>Try Again</v>
      </c>
      <c r="D40" t="str">
        <f t="shared" si="2"/>
        <v>Present</v>
      </c>
    </row>
    <row r="41" spans="1:4">
      <c r="A41">
        <v>46</v>
      </c>
      <c r="B41" t="str">
        <f t="shared" si="0"/>
        <v>Pass</v>
      </c>
      <c r="C41" t="str">
        <f t="shared" si="1"/>
        <v>Try Again</v>
      </c>
      <c r="D41" t="str">
        <f t="shared" si="2"/>
        <v>Present</v>
      </c>
    </row>
    <row r="42" spans="1:4">
      <c r="A42">
        <v>61</v>
      </c>
      <c r="B42" t="str">
        <f t="shared" si="0"/>
        <v>Pass</v>
      </c>
      <c r="C42" t="str">
        <f t="shared" si="1"/>
        <v>Try Again</v>
      </c>
      <c r="D42" t="str">
        <f t="shared" si="2"/>
        <v>Present</v>
      </c>
    </row>
    <row r="43" spans="1:4">
      <c r="A43">
        <v>50</v>
      </c>
      <c r="B43" t="str">
        <f t="shared" si="0"/>
        <v>Pass</v>
      </c>
      <c r="C43" t="str">
        <f t="shared" si="1"/>
        <v>Try Again</v>
      </c>
      <c r="D43" t="str">
        <f t="shared" si="2"/>
        <v>Present</v>
      </c>
    </row>
    <row r="44" spans="1:4">
      <c r="A44">
        <v>54</v>
      </c>
      <c r="B44" t="str">
        <f t="shared" si="0"/>
        <v>Pass</v>
      </c>
      <c r="C44" t="str">
        <f t="shared" si="1"/>
        <v>Try Again</v>
      </c>
      <c r="D44" t="str">
        <f t="shared" si="2"/>
        <v>Present</v>
      </c>
    </row>
    <row r="45" spans="1:4">
      <c r="A45">
        <v>63</v>
      </c>
      <c r="B45" t="str">
        <f t="shared" si="0"/>
        <v>Pass</v>
      </c>
      <c r="C45" t="str">
        <f t="shared" si="1"/>
        <v>Try Again</v>
      </c>
      <c r="D45" t="str">
        <f t="shared" si="2"/>
        <v>Present</v>
      </c>
    </row>
    <row r="46" spans="1:4">
      <c r="A46">
        <v>2</v>
      </c>
      <c r="B46" t="str">
        <f t="shared" si="0"/>
        <v>Fail</v>
      </c>
      <c r="C46" t="str">
        <f t="shared" si="1"/>
        <v>Try Again</v>
      </c>
      <c r="D46" t="str">
        <f t="shared" si="2"/>
        <v>Present</v>
      </c>
    </row>
    <row r="47" spans="1:4">
      <c r="A47">
        <v>100</v>
      </c>
      <c r="B47" t="str">
        <f t="shared" si="0"/>
        <v>Pass</v>
      </c>
      <c r="C47" t="str">
        <f t="shared" si="1"/>
        <v>Excellent</v>
      </c>
      <c r="D47" t="str">
        <f t="shared" si="2"/>
        <v>Present</v>
      </c>
    </row>
    <row r="48" spans="1:4">
      <c r="A48">
        <v>50</v>
      </c>
      <c r="B48" t="str">
        <f t="shared" si="0"/>
        <v>Pass</v>
      </c>
      <c r="C48" t="str">
        <f t="shared" si="1"/>
        <v>Try Again</v>
      </c>
      <c r="D48" t="str">
        <f t="shared" si="2"/>
        <v>Present</v>
      </c>
    </row>
    <row r="49" spans="1:4">
      <c r="A49">
        <v>6</v>
      </c>
      <c r="B49" t="str">
        <f t="shared" si="0"/>
        <v>Fail</v>
      </c>
      <c r="C49" t="str">
        <f t="shared" si="1"/>
        <v>Try Again</v>
      </c>
      <c r="D49" t="str">
        <f t="shared" si="2"/>
        <v>Present</v>
      </c>
    </row>
    <row r="50" spans="1:4">
      <c r="A50">
        <v>20</v>
      </c>
      <c r="B50" t="str">
        <f t="shared" si="0"/>
        <v>Fail</v>
      </c>
      <c r="C50" t="str">
        <f t="shared" si="1"/>
        <v>Try Again</v>
      </c>
      <c r="D50" t="str">
        <f t="shared" si="2"/>
        <v>Present</v>
      </c>
    </row>
    <row r="51" spans="1:4">
      <c r="A51">
        <v>72</v>
      </c>
      <c r="B51" t="str">
        <f t="shared" si="0"/>
        <v>Pass</v>
      </c>
      <c r="C51" t="str">
        <f t="shared" si="1"/>
        <v>Try Again</v>
      </c>
      <c r="D51" t="str">
        <f t="shared" si="2"/>
        <v>Present</v>
      </c>
    </row>
    <row r="52" spans="1:4">
      <c r="A52">
        <v>38</v>
      </c>
      <c r="B52" t="str">
        <f t="shared" si="0"/>
        <v>Fail</v>
      </c>
      <c r="C52" t="str">
        <f t="shared" si="1"/>
        <v>Try Again</v>
      </c>
      <c r="D52" t="str">
        <f t="shared" si="2"/>
        <v>Present</v>
      </c>
    </row>
    <row r="53" spans="1:4">
      <c r="A53">
        <v>17</v>
      </c>
      <c r="B53" t="str">
        <f t="shared" si="0"/>
        <v>Fail</v>
      </c>
      <c r="C53" t="str">
        <f t="shared" si="1"/>
        <v>Try Again</v>
      </c>
      <c r="D53" t="str">
        <f t="shared" si="2"/>
        <v>Present</v>
      </c>
    </row>
    <row r="54" spans="1:4">
      <c r="A54">
        <v>3</v>
      </c>
      <c r="B54" t="str">
        <f t="shared" si="0"/>
        <v>Fail</v>
      </c>
      <c r="C54" t="str">
        <f t="shared" si="1"/>
        <v>Try Again</v>
      </c>
      <c r="D54" t="str">
        <f t="shared" si="2"/>
        <v>Present</v>
      </c>
    </row>
    <row r="55" spans="1:4">
      <c r="A55">
        <v>88</v>
      </c>
      <c r="B55" t="str">
        <f t="shared" si="0"/>
        <v>Pass</v>
      </c>
      <c r="C55" t="str">
        <f t="shared" si="1"/>
        <v>Try Again</v>
      </c>
      <c r="D55" t="str">
        <f t="shared" si="2"/>
        <v>Present</v>
      </c>
    </row>
    <row r="56" spans="1:4">
      <c r="A56">
        <v>59</v>
      </c>
      <c r="B56" t="str">
        <f t="shared" si="0"/>
        <v>Pass</v>
      </c>
      <c r="C56" t="str">
        <f t="shared" si="1"/>
        <v>Try Again</v>
      </c>
      <c r="D56" t="str">
        <f t="shared" si="2"/>
        <v>Present</v>
      </c>
    </row>
    <row r="57" spans="1:4">
      <c r="A57">
        <v>13</v>
      </c>
      <c r="B57" t="str">
        <f t="shared" si="0"/>
        <v>Fail</v>
      </c>
      <c r="C57" t="str">
        <f t="shared" si="1"/>
        <v>Try Again</v>
      </c>
      <c r="D57" t="str">
        <f t="shared" si="2"/>
        <v>Present</v>
      </c>
    </row>
    <row r="58" spans="1:4">
      <c r="A58">
        <v>8</v>
      </c>
      <c r="B58" t="str">
        <f t="shared" si="0"/>
        <v>Fail</v>
      </c>
      <c r="C58" t="str">
        <f t="shared" si="1"/>
        <v>Try Again</v>
      </c>
      <c r="D58" t="str">
        <f t="shared" si="2"/>
        <v>Present</v>
      </c>
    </row>
    <row r="59" spans="1:4">
      <c r="A59">
        <v>89</v>
      </c>
      <c r="B59" t="str">
        <f t="shared" si="0"/>
        <v>Pass</v>
      </c>
      <c r="C59" t="str">
        <f t="shared" si="1"/>
        <v>Try Again</v>
      </c>
      <c r="D59" t="str">
        <f t="shared" si="2"/>
        <v>Present</v>
      </c>
    </row>
    <row r="60" spans="1:4">
      <c r="A60">
        <v>52</v>
      </c>
      <c r="B60" t="str">
        <f t="shared" si="0"/>
        <v>Pass</v>
      </c>
      <c r="C60" t="str">
        <f t="shared" si="1"/>
        <v>Try Again</v>
      </c>
      <c r="D60" t="str">
        <f t="shared" si="2"/>
        <v>Present</v>
      </c>
    </row>
    <row r="61" spans="1:4">
      <c r="A61">
        <v>1</v>
      </c>
      <c r="B61" t="str">
        <f t="shared" si="0"/>
        <v>Fail</v>
      </c>
      <c r="C61" t="str">
        <f t="shared" si="1"/>
        <v>Try Again</v>
      </c>
      <c r="D61" t="str">
        <f t="shared" si="2"/>
        <v>Present</v>
      </c>
    </row>
    <row r="62" spans="1:4">
      <c r="A62">
        <v>83</v>
      </c>
      <c r="B62" t="str">
        <f t="shared" si="0"/>
        <v>Pass</v>
      </c>
      <c r="C62" t="str">
        <f t="shared" si="1"/>
        <v>Try Again</v>
      </c>
      <c r="D62" t="str">
        <f t="shared" si="2"/>
        <v>Present</v>
      </c>
    </row>
    <row r="63" spans="1:4">
      <c r="A63">
        <v>91</v>
      </c>
      <c r="B63" t="str">
        <f t="shared" si="0"/>
        <v>Pass</v>
      </c>
      <c r="C63" t="str">
        <f t="shared" si="1"/>
        <v>Excellent</v>
      </c>
      <c r="D63" t="str">
        <f t="shared" si="2"/>
        <v>Present</v>
      </c>
    </row>
    <row r="64" spans="1:4">
      <c r="A64">
        <v>59</v>
      </c>
      <c r="B64" t="str">
        <f t="shared" si="0"/>
        <v>Pass</v>
      </c>
      <c r="C64" t="str">
        <f t="shared" si="1"/>
        <v>Try Again</v>
      </c>
      <c r="D64" t="str">
        <f t="shared" si="2"/>
        <v>Present</v>
      </c>
    </row>
    <row r="65" spans="1:4">
      <c r="A65">
        <v>70</v>
      </c>
      <c r="B65" t="str">
        <f t="shared" si="0"/>
        <v>Pass</v>
      </c>
      <c r="C65" t="str">
        <f t="shared" si="1"/>
        <v>Try Again</v>
      </c>
      <c r="D65" t="str">
        <f t="shared" si="2"/>
        <v>Present</v>
      </c>
    </row>
    <row r="66" spans="1:4">
      <c r="A66">
        <v>43</v>
      </c>
      <c r="B66" t="str">
        <f t="shared" si="0"/>
        <v>Pass</v>
      </c>
      <c r="C66" t="str">
        <f t="shared" si="1"/>
        <v>Try Again</v>
      </c>
      <c r="D66" t="str">
        <f t="shared" si="2"/>
        <v>Present</v>
      </c>
    </row>
    <row r="67" spans="1:4">
      <c r="A67">
        <v>7</v>
      </c>
      <c r="B67" t="str">
        <f t="shared" ref="B67:B101" si="3">IF(A67&gt;=40,"Pass","Fail")</f>
        <v>Fail</v>
      </c>
      <c r="C67" t="str">
        <f t="shared" ref="C67:C101" si="4">IF(A67&gt;=90,"Excellent","Try Again")</f>
        <v>Try Again</v>
      </c>
      <c r="D67" t="str">
        <f t="shared" ref="D67:D101" si="5">IF(A67=0,"Absent","Present")</f>
        <v>Present</v>
      </c>
    </row>
    <row r="68" spans="1:4">
      <c r="A68">
        <v>46</v>
      </c>
      <c r="B68" t="str">
        <f t="shared" si="3"/>
        <v>Pass</v>
      </c>
      <c r="C68" t="str">
        <f t="shared" si="4"/>
        <v>Try Again</v>
      </c>
      <c r="D68" t="str">
        <f t="shared" si="5"/>
        <v>Present</v>
      </c>
    </row>
    <row r="69" spans="1:4">
      <c r="A69">
        <v>34</v>
      </c>
      <c r="B69" t="str">
        <f t="shared" si="3"/>
        <v>Fail</v>
      </c>
      <c r="C69" t="str">
        <f t="shared" si="4"/>
        <v>Try Again</v>
      </c>
      <c r="D69" t="str">
        <f t="shared" si="5"/>
        <v>Present</v>
      </c>
    </row>
    <row r="70" spans="1:4">
      <c r="A70">
        <v>77</v>
      </c>
      <c r="B70" t="str">
        <f t="shared" si="3"/>
        <v>Pass</v>
      </c>
      <c r="C70" t="str">
        <f t="shared" si="4"/>
        <v>Try Again</v>
      </c>
      <c r="D70" t="str">
        <f t="shared" si="5"/>
        <v>Present</v>
      </c>
    </row>
    <row r="71" spans="1:4">
      <c r="A71">
        <v>80</v>
      </c>
      <c r="B71" t="str">
        <f t="shared" si="3"/>
        <v>Pass</v>
      </c>
      <c r="C71" t="str">
        <f t="shared" si="4"/>
        <v>Try Again</v>
      </c>
      <c r="D71" t="str">
        <f t="shared" si="5"/>
        <v>Present</v>
      </c>
    </row>
    <row r="72" spans="1:4">
      <c r="A72">
        <v>35</v>
      </c>
      <c r="B72" t="str">
        <f t="shared" si="3"/>
        <v>Fail</v>
      </c>
      <c r="C72" t="str">
        <f t="shared" si="4"/>
        <v>Try Again</v>
      </c>
      <c r="D72" t="str">
        <f t="shared" si="5"/>
        <v>Present</v>
      </c>
    </row>
    <row r="73" spans="1:4">
      <c r="A73">
        <v>49</v>
      </c>
      <c r="B73" t="str">
        <f t="shared" si="3"/>
        <v>Pass</v>
      </c>
      <c r="C73" t="str">
        <f t="shared" si="4"/>
        <v>Try Again</v>
      </c>
      <c r="D73" t="str">
        <f t="shared" si="5"/>
        <v>Present</v>
      </c>
    </row>
    <row r="74" spans="1:4">
      <c r="A74">
        <v>3</v>
      </c>
      <c r="B74" t="str">
        <f t="shared" si="3"/>
        <v>Fail</v>
      </c>
      <c r="C74" t="str">
        <f t="shared" si="4"/>
        <v>Try Again</v>
      </c>
      <c r="D74" t="str">
        <f t="shared" si="5"/>
        <v>Present</v>
      </c>
    </row>
    <row r="75" spans="1:4">
      <c r="A75">
        <v>1</v>
      </c>
      <c r="B75" t="str">
        <f t="shared" si="3"/>
        <v>Fail</v>
      </c>
      <c r="C75" t="str">
        <f t="shared" si="4"/>
        <v>Try Again</v>
      </c>
      <c r="D75" t="str">
        <f t="shared" si="5"/>
        <v>Present</v>
      </c>
    </row>
    <row r="76" spans="1:4">
      <c r="A76">
        <v>5</v>
      </c>
      <c r="B76" t="str">
        <f t="shared" si="3"/>
        <v>Fail</v>
      </c>
      <c r="C76" t="str">
        <f t="shared" si="4"/>
        <v>Try Again</v>
      </c>
      <c r="D76" t="str">
        <f t="shared" si="5"/>
        <v>Present</v>
      </c>
    </row>
    <row r="77" spans="1:4">
      <c r="A77">
        <v>53</v>
      </c>
      <c r="B77" t="str">
        <f t="shared" si="3"/>
        <v>Pass</v>
      </c>
      <c r="C77" t="str">
        <f t="shared" si="4"/>
        <v>Try Again</v>
      </c>
      <c r="D77" t="str">
        <f t="shared" si="5"/>
        <v>Present</v>
      </c>
    </row>
    <row r="78" spans="1:4">
      <c r="A78">
        <v>3</v>
      </c>
      <c r="B78" t="str">
        <f t="shared" si="3"/>
        <v>Fail</v>
      </c>
      <c r="C78" t="str">
        <f t="shared" si="4"/>
        <v>Try Again</v>
      </c>
      <c r="D78" t="str">
        <f t="shared" si="5"/>
        <v>Present</v>
      </c>
    </row>
    <row r="79" spans="1:4">
      <c r="A79">
        <v>53</v>
      </c>
      <c r="B79" t="str">
        <f t="shared" si="3"/>
        <v>Pass</v>
      </c>
      <c r="C79" t="str">
        <f t="shared" si="4"/>
        <v>Try Again</v>
      </c>
      <c r="D79" t="str">
        <f t="shared" si="5"/>
        <v>Present</v>
      </c>
    </row>
    <row r="80" spans="1:4">
      <c r="A80">
        <v>92</v>
      </c>
      <c r="B80" t="str">
        <f t="shared" si="3"/>
        <v>Pass</v>
      </c>
      <c r="C80" t="str">
        <f t="shared" si="4"/>
        <v>Excellent</v>
      </c>
      <c r="D80" t="str">
        <f t="shared" si="5"/>
        <v>Present</v>
      </c>
    </row>
    <row r="81" spans="1:4">
      <c r="A81">
        <v>62</v>
      </c>
      <c r="B81" t="str">
        <f t="shared" si="3"/>
        <v>Pass</v>
      </c>
      <c r="C81" t="str">
        <f t="shared" si="4"/>
        <v>Try Again</v>
      </c>
      <c r="D81" t="str">
        <f t="shared" si="5"/>
        <v>Present</v>
      </c>
    </row>
    <row r="82" spans="1:4">
      <c r="A82">
        <v>17</v>
      </c>
      <c r="B82" t="str">
        <f t="shared" si="3"/>
        <v>Fail</v>
      </c>
      <c r="C82" t="str">
        <f t="shared" si="4"/>
        <v>Try Again</v>
      </c>
      <c r="D82" t="str">
        <f t="shared" si="5"/>
        <v>Present</v>
      </c>
    </row>
    <row r="83" spans="1:4">
      <c r="A83">
        <v>89</v>
      </c>
      <c r="B83" t="str">
        <f t="shared" si="3"/>
        <v>Pass</v>
      </c>
      <c r="C83" t="str">
        <f t="shared" si="4"/>
        <v>Try Again</v>
      </c>
      <c r="D83" t="str">
        <f t="shared" si="5"/>
        <v>Present</v>
      </c>
    </row>
    <row r="84" spans="1:4">
      <c r="A84">
        <v>43</v>
      </c>
      <c r="B84" t="str">
        <f t="shared" si="3"/>
        <v>Pass</v>
      </c>
      <c r="C84" t="str">
        <f t="shared" si="4"/>
        <v>Try Again</v>
      </c>
      <c r="D84" t="str">
        <f t="shared" si="5"/>
        <v>Present</v>
      </c>
    </row>
    <row r="85" spans="1:4">
      <c r="A85">
        <v>33</v>
      </c>
      <c r="B85" t="str">
        <f t="shared" si="3"/>
        <v>Fail</v>
      </c>
      <c r="C85" t="str">
        <f t="shared" si="4"/>
        <v>Try Again</v>
      </c>
      <c r="D85" t="str">
        <f t="shared" si="5"/>
        <v>Present</v>
      </c>
    </row>
    <row r="86" spans="1:4">
      <c r="A86">
        <v>73</v>
      </c>
      <c r="B86" t="str">
        <f t="shared" si="3"/>
        <v>Pass</v>
      </c>
      <c r="C86" t="str">
        <f t="shared" si="4"/>
        <v>Try Again</v>
      </c>
      <c r="D86" t="str">
        <f t="shared" si="5"/>
        <v>Present</v>
      </c>
    </row>
    <row r="87" spans="1:4">
      <c r="A87">
        <v>61</v>
      </c>
      <c r="B87" t="str">
        <f t="shared" si="3"/>
        <v>Pass</v>
      </c>
      <c r="C87" t="str">
        <f t="shared" si="4"/>
        <v>Try Again</v>
      </c>
      <c r="D87" t="str">
        <f t="shared" si="5"/>
        <v>Present</v>
      </c>
    </row>
    <row r="88" spans="1:4">
      <c r="A88">
        <v>99</v>
      </c>
      <c r="B88" t="str">
        <f t="shared" si="3"/>
        <v>Pass</v>
      </c>
      <c r="C88" t="str">
        <f t="shared" si="4"/>
        <v>Excellent</v>
      </c>
      <c r="D88" t="str">
        <f t="shared" si="5"/>
        <v>Present</v>
      </c>
    </row>
    <row r="89" spans="1:4">
      <c r="A89">
        <v>13</v>
      </c>
      <c r="B89" t="str">
        <f t="shared" si="3"/>
        <v>Fail</v>
      </c>
      <c r="C89" t="str">
        <f t="shared" si="4"/>
        <v>Try Again</v>
      </c>
      <c r="D89" t="str">
        <f t="shared" si="5"/>
        <v>Present</v>
      </c>
    </row>
    <row r="90" spans="1:4">
      <c r="A90">
        <v>94</v>
      </c>
      <c r="B90" t="str">
        <f t="shared" si="3"/>
        <v>Pass</v>
      </c>
      <c r="C90" t="str">
        <f t="shared" si="4"/>
        <v>Excellent</v>
      </c>
      <c r="D90" t="str">
        <f t="shared" si="5"/>
        <v>Present</v>
      </c>
    </row>
    <row r="91" spans="1:4">
      <c r="A91">
        <v>47</v>
      </c>
      <c r="B91" t="str">
        <f t="shared" si="3"/>
        <v>Pass</v>
      </c>
      <c r="C91" t="str">
        <f t="shared" si="4"/>
        <v>Try Again</v>
      </c>
      <c r="D91" t="str">
        <f t="shared" si="5"/>
        <v>Present</v>
      </c>
    </row>
    <row r="92" spans="1:4">
      <c r="A92">
        <v>14</v>
      </c>
      <c r="B92" t="str">
        <f t="shared" si="3"/>
        <v>Fail</v>
      </c>
      <c r="C92" t="str">
        <f t="shared" si="4"/>
        <v>Try Again</v>
      </c>
      <c r="D92" t="str">
        <f t="shared" si="5"/>
        <v>Present</v>
      </c>
    </row>
    <row r="93" spans="1:4">
      <c r="A93">
        <v>71</v>
      </c>
      <c r="B93" t="str">
        <f t="shared" si="3"/>
        <v>Pass</v>
      </c>
      <c r="C93" t="str">
        <f t="shared" si="4"/>
        <v>Try Again</v>
      </c>
      <c r="D93" t="str">
        <f t="shared" si="5"/>
        <v>Present</v>
      </c>
    </row>
    <row r="94" spans="1:4">
      <c r="A94">
        <v>77</v>
      </c>
      <c r="B94" t="str">
        <f t="shared" si="3"/>
        <v>Pass</v>
      </c>
      <c r="C94" t="str">
        <f t="shared" si="4"/>
        <v>Try Again</v>
      </c>
      <c r="D94" t="str">
        <f t="shared" si="5"/>
        <v>Present</v>
      </c>
    </row>
    <row r="95" spans="1:4">
      <c r="A95">
        <v>86</v>
      </c>
      <c r="B95" t="str">
        <f t="shared" si="3"/>
        <v>Pass</v>
      </c>
      <c r="C95" t="str">
        <f t="shared" si="4"/>
        <v>Try Again</v>
      </c>
      <c r="D95" t="str">
        <f t="shared" si="5"/>
        <v>Present</v>
      </c>
    </row>
    <row r="96" spans="1:4">
      <c r="A96">
        <v>61</v>
      </c>
      <c r="B96" t="str">
        <f t="shared" si="3"/>
        <v>Pass</v>
      </c>
      <c r="C96" t="str">
        <f t="shared" si="4"/>
        <v>Try Again</v>
      </c>
      <c r="D96" t="str">
        <f t="shared" si="5"/>
        <v>Present</v>
      </c>
    </row>
    <row r="97" spans="1:4">
      <c r="A97">
        <v>39</v>
      </c>
      <c r="B97" t="str">
        <f t="shared" si="3"/>
        <v>Fail</v>
      </c>
      <c r="C97" t="str">
        <f t="shared" si="4"/>
        <v>Try Again</v>
      </c>
      <c r="D97" t="str">
        <f t="shared" si="5"/>
        <v>Present</v>
      </c>
    </row>
    <row r="98" spans="1:4">
      <c r="A98">
        <v>84</v>
      </c>
      <c r="B98" t="str">
        <f t="shared" si="3"/>
        <v>Pass</v>
      </c>
      <c r="C98" t="str">
        <f t="shared" si="4"/>
        <v>Try Again</v>
      </c>
      <c r="D98" t="str">
        <f t="shared" si="5"/>
        <v>Present</v>
      </c>
    </row>
    <row r="99" spans="1:4">
      <c r="A99">
        <v>79</v>
      </c>
      <c r="B99" t="str">
        <f t="shared" si="3"/>
        <v>Pass</v>
      </c>
      <c r="C99" t="str">
        <f t="shared" si="4"/>
        <v>Try Again</v>
      </c>
      <c r="D99" t="str">
        <f t="shared" si="5"/>
        <v>Present</v>
      </c>
    </row>
    <row r="100" spans="1:4">
      <c r="A100">
        <v>81</v>
      </c>
      <c r="B100" t="str">
        <f t="shared" si="3"/>
        <v>Pass</v>
      </c>
      <c r="C100" t="str">
        <f t="shared" si="4"/>
        <v>Try Again</v>
      </c>
      <c r="D100" t="str">
        <f t="shared" si="5"/>
        <v>Present</v>
      </c>
    </row>
    <row r="101" spans="1:4">
      <c r="A101">
        <v>52</v>
      </c>
      <c r="B101" t="str">
        <f t="shared" si="3"/>
        <v>Pass</v>
      </c>
      <c r="C101" t="str">
        <f t="shared" si="4"/>
        <v>Try Again</v>
      </c>
      <c r="D101" t="str">
        <f t="shared" si="5"/>
        <v>Present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zoomScale="128" zoomScaleNormal="128" workbookViewId="0">
      <selection activeCell="D2" sqref="D2:D101"/>
    </sheetView>
  </sheetViews>
  <sheetFormatPr defaultRowHeight="14.5"/>
  <cols>
    <col min="2" max="2" width="12" bestFit="1" customWidth="1"/>
    <col min="3" max="3" width="18" bestFit="1" customWidth="1"/>
    <col min="4" max="4" width="12.26953125" bestFit="1" customWidth="1"/>
    <col min="5" max="5" width="98.90625" bestFit="1" customWidth="1"/>
  </cols>
  <sheetData>
    <row r="1" spans="1:5">
      <c r="A1" s="1" t="s">
        <v>3</v>
      </c>
      <c r="B1" s="22" t="s">
        <v>79</v>
      </c>
      <c r="C1" s="22" t="s">
        <v>80</v>
      </c>
      <c r="D1" s="22" t="s">
        <v>81</v>
      </c>
    </row>
    <row r="2" spans="1:5">
      <c r="A2">
        <v>100</v>
      </c>
      <c r="B2" t="str">
        <f>IF(A2&gt;=75,"Distinction",IF(A2&gt;=50,"Pass","Fail"))</f>
        <v>Distinction</v>
      </c>
      <c r="C2" t="str">
        <f>IF(A2=100,"Topper",IF(A2&gt;=90,"Oustanding",IF(A2&gt;=75,"Good","Needs Improvement")))</f>
        <v>Topper</v>
      </c>
      <c r="D2" t="str">
        <f>IF(A2&lt;35,"Fail",IF(A2&lt;50,"Borderline","Pass"))</f>
        <v>Pass</v>
      </c>
    </row>
    <row r="3" spans="1:5" ht="16" customHeight="1">
      <c r="A3">
        <v>100</v>
      </c>
      <c r="B3" t="str">
        <f t="shared" ref="B3:B66" si="0">IF(A3&gt;=75,"Distinction",IF(A3&gt;=50,"Pass","Fail"))</f>
        <v>Distinction</v>
      </c>
      <c r="C3" t="str">
        <f t="shared" ref="C3:C66" si="1">IF(A3=100,"Topper",IF(A3&gt;=90,"Oustanding",IF(A3&gt;=75,"Good","Needs Improvement")))</f>
        <v>Topper</v>
      </c>
      <c r="D3" t="str">
        <f t="shared" ref="D3:D66" si="2">IF(A3&lt;35,"Fail",IF(A3&lt;50,"Borderline","Pass"))</f>
        <v>Pass</v>
      </c>
      <c r="E3" s="10" t="s">
        <v>61</v>
      </c>
    </row>
    <row r="4" spans="1:5">
      <c r="A4">
        <v>98</v>
      </c>
      <c r="B4" t="str">
        <f t="shared" si="0"/>
        <v>Distinction</v>
      </c>
      <c r="C4" t="str">
        <f t="shared" si="1"/>
        <v>Oustanding</v>
      </c>
      <c r="D4" t="str">
        <f t="shared" si="2"/>
        <v>Pass</v>
      </c>
    </row>
    <row r="5" spans="1:5">
      <c r="A5">
        <v>18</v>
      </c>
      <c r="B5" t="str">
        <f t="shared" si="0"/>
        <v>Fail</v>
      </c>
      <c r="C5" t="str">
        <f t="shared" si="1"/>
        <v>Needs Improvement</v>
      </c>
      <c r="D5" t="str">
        <f t="shared" si="2"/>
        <v>Fail</v>
      </c>
      <c r="E5" t="s">
        <v>53</v>
      </c>
    </row>
    <row r="6" spans="1:5">
      <c r="A6">
        <v>47</v>
      </c>
      <c r="B6" t="str">
        <f t="shared" si="0"/>
        <v>Fail</v>
      </c>
      <c r="C6" t="str">
        <f t="shared" si="1"/>
        <v>Needs Improvement</v>
      </c>
      <c r="D6" t="str">
        <f t="shared" si="2"/>
        <v>Borderline</v>
      </c>
      <c r="E6" s="11"/>
    </row>
    <row r="7" spans="1:5">
      <c r="A7">
        <v>79</v>
      </c>
      <c r="B7" t="str">
        <f t="shared" si="0"/>
        <v>Distinction</v>
      </c>
      <c r="C7" t="str">
        <f t="shared" si="1"/>
        <v>Good</v>
      </c>
      <c r="D7" t="str">
        <f t="shared" si="2"/>
        <v>Pass</v>
      </c>
      <c r="E7" s="11" t="s">
        <v>62</v>
      </c>
    </row>
    <row r="8" spans="1:5">
      <c r="A8">
        <v>2</v>
      </c>
      <c r="B8" t="str">
        <f t="shared" si="0"/>
        <v>Fail</v>
      </c>
      <c r="C8" t="str">
        <f t="shared" si="1"/>
        <v>Needs Improvement</v>
      </c>
      <c r="D8" t="str">
        <f t="shared" si="2"/>
        <v>Fail</v>
      </c>
      <c r="E8" s="11"/>
    </row>
    <row r="9" spans="1:5">
      <c r="A9">
        <v>19</v>
      </c>
      <c r="B9" t="str">
        <f t="shared" si="0"/>
        <v>Fail</v>
      </c>
      <c r="C9" t="str">
        <f t="shared" si="1"/>
        <v>Needs Improvement</v>
      </c>
      <c r="D9" t="str">
        <f t="shared" si="2"/>
        <v>Fail</v>
      </c>
      <c r="E9" s="11" t="s">
        <v>63</v>
      </c>
    </row>
    <row r="10" spans="1:5">
      <c r="A10">
        <v>23</v>
      </c>
      <c r="B10" t="str">
        <f t="shared" si="0"/>
        <v>Fail</v>
      </c>
      <c r="C10" t="str">
        <f t="shared" si="1"/>
        <v>Needs Improvement</v>
      </c>
      <c r="D10" t="str">
        <f t="shared" si="2"/>
        <v>Fail</v>
      </c>
      <c r="E10" s="11"/>
    </row>
    <row r="11" spans="1:5">
      <c r="A11">
        <v>53</v>
      </c>
      <c r="B11" t="str">
        <f t="shared" si="0"/>
        <v>Pass</v>
      </c>
      <c r="C11" t="str">
        <f t="shared" si="1"/>
        <v>Needs Improvement</v>
      </c>
      <c r="D11" t="str">
        <f t="shared" si="2"/>
        <v>Pass</v>
      </c>
      <c r="E11" s="11" t="s">
        <v>64</v>
      </c>
    </row>
    <row r="12" spans="1:5">
      <c r="A12">
        <v>32</v>
      </c>
      <c r="B12" t="str">
        <f t="shared" si="0"/>
        <v>Fail</v>
      </c>
      <c r="C12" t="str">
        <f t="shared" si="1"/>
        <v>Needs Improvement</v>
      </c>
      <c r="D12" t="str">
        <f t="shared" si="2"/>
        <v>Fail</v>
      </c>
    </row>
    <row r="13" spans="1:5">
      <c r="A13">
        <v>23</v>
      </c>
      <c r="B13" t="str">
        <f t="shared" si="0"/>
        <v>Fail</v>
      </c>
      <c r="C13" t="str">
        <f t="shared" si="1"/>
        <v>Needs Improvement</v>
      </c>
      <c r="D13" t="str">
        <f t="shared" si="2"/>
        <v>Fail</v>
      </c>
    </row>
    <row r="14" spans="1:5">
      <c r="A14">
        <v>74</v>
      </c>
      <c r="B14" t="str">
        <f t="shared" si="0"/>
        <v>Pass</v>
      </c>
      <c r="C14" t="str">
        <f t="shared" si="1"/>
        <v>Needs Improvement</v>
      </c>
      <c r="D14" t="str">
        <f t="shared" si="2"/>
        <v>Pass</v>
      </c>
    </row>
    <row r="15" spans="1:5">
      <c r="A15">
        <v>71</v>
      </c>
      <c r="B15" t="str">
        <f t="shared" si="0"/>
        <v>Pass</v>
      </c>
      <c r="C15" t="str">
        <f t="shared" si="1"/>
        <v>Needs Improvement</v>
      </c>
      <c r="D15" t="str">
        <f t="shared" si="2"/>
        <v>Pass</v>
      </c>
    </row>
    <row r="16" spans="1:5">
      <c r="A16">
        <v>35</v>
      </c>
      <c r="B16" t="str">
        <f t="shared" si="0"/>
        <v>Fail</v>
      </c>
      <c r="C16" t="str">
        <f t="shared" si="1"/>
        <v>Needs Improvement</v>
      </c>
      <c r="D16" t="str">
        <f t="shared" si="2"/>
        <v>Borderline</v>
      </c>
    </row>
    <row r="17" spans="1:4">
      <c r="A17">
        <v>37</v>
      </c>
      <c r="B17" t="str">
        <f t="shared" si="0"/>
        <v>Fail</v>
      </c>
      <c r="C17" t="str">
        <f t="shared" si="1"/>
        <v>Needs Improvement</v>
      </c>
      <c r="D17" t="str">
        <f t="shared" si="2"/>
        <v>Borderline</v>
      </c>
    </row>
    <row r="18" spans="1:4">
      <c r="A18">
        <v>83</v>
      </c>
      <c r="B18" t="str">
        <f t="shared" si="0"/>
        <v>Distinction</v>
      </c>
      <c r="C18" t="str">
        <f t="shared" si="1"/>
        <v>Good</v>
      </c>
      <c r="D18" t="str">
        <f t="shared" si="2"/>
        <v>Pass</v>
      </c>
    </row>
    <row r="19" spans="1:4">
      <c r="A19">
        <v>98</v>
      </c>
      <c r="B19" t="str">
        <f t="shared" si="0"/>
        <v>Distinction</v>
      </c>
      <c r="C19" t="str">
        <f t="shared" si="1"/>
        <v>Oustanding</v>
      </c>
      <c r="D19" t="str">
        <f t="shared" si="2"/>
        <v>Pass</v>
      </c>
    </row>
    <row r="20" spans="1:4">
      <c r="A20">
        <v>88</v>
      </c>
      <c r="B20" t="str">
        <f t="shared" si="0"/>
        <v>Distinction</v>
      </c>
      <c r="C20" t="str">
        <f t="shared" si="1"/>
        <v>Good</v>
      </c>
      <c r="D20" t="str">
        <f t="shared" si="2"/>
        <v>Pass</v>
      </c>
    </row>
    <row r="21" spans="1:4">
      <c r="A21">
        <v>98</v>
      </c>
      <c r="B21" t="str">
        <f t="shared" si="0"/>
        <v>Distinction</v>
      </c>
      <c r="C21" t="str">
        <f t="shared" si="1"/>
        <v>Oustanding</v>
      </c>
      <c r="D21" t="str">
        <f t="shared" si="2"/>
        <v>Pass</v>
      </c>
    </row>
    <row r="22" spans="1:4">
      <c r="A22">
        <v>24</v>
      </c>
      <c r="B22" t="str">
        <f t="shared" si="0"/>
        <v>Fail</v>
      </c>
      <c r="C22" t="str">
        <f t="shared" si="1"/>
        <v>Needs Improvement</v>
      </c>
      <c r="D22" t="str">
        <f t="shared" si="2"/>
        <v>Fail</v>
      </c>
    </row>
    <row r="23" spans="1:4">
      <c r="A23">
        <v>92</v>
      </c>
      <c r="B23" t="str">
        <f t="shared" si="0"/>
        <v>Distinction</v>
      </c>
      <c r="C23" t="str">
        <f t="shared" si="1"/>
        <v>Oustanding</v>
      </c>
      <c r="D23" t="str">
        <f t="shared" si="2"/>
        <v>Pass</v>
      </c>
    </row>
    <row r="24" spans="1:4">
      <c r="A24">
        <v>17</v>
      </c>
      <c r="B24" t="str">
        <f t="shared" si="0"/>
        <v>Fail</v>
      </c>
      <c r="C24" t="str">
        <f t="shared" si="1"/>
        <v>Needs Improvement</v>
      </c>
      <c r="D24" t="str">
        <f t="shared" si="2"/>
        <v>Fail</v>
      </c>
    </row>
    <row r="25" spans="1:4">
      <c r="A25">
        <v>81</v>
      </c>
      <c r="B25" t="str">
        <f t="shared" si="0"/>
        <v>Distinction</v>
      </c>
      <c r="C25" t="str">
        <f t="shared" si="1"/>
        <v>Good</v>
      </c>
      <c r="D25" t="str">
        <f t="shared" si="2"/>
        <v>Pass</v>
      </c>
    </row>
    <row r="26" spans="1:4">
      <c r="A26">
        <v>65</v>
      </c>
      <c r="B26" t="str">
        <f t="shared" si="0"/>
        <v>Pass</v>
      </c>
      <c r="C26" t="str">
        <f t="shared" si="1"/>
        <v>Needs Improvement</v>
      </c>
      <c r="D26" t="str">
        <f t="shared" si="2"/>
        <v>Pass</v>
      </c>
    </row>
    <row r="27" spans="1:4">
      <c r="A27">
        <v>53</v>
      </c>
      <c r="B27" t="str">
        <f t="shared" si="0"/>
        <v>Pass</v>
      </c>
      <c r="C27" t="str">
        <f t="shared" si="1"/>
        <v>Needs Improvement</v>
      </c>
      <c r="D27" t="str">
        <f t="shared" si="2"/>
        <v>Pass</v>
      </c>
    </row>
    <row r="28" spans="1:4">
      <c r="A28">
        <v>34</v>
      </c>
      <c r="B28" t="str">
        <f t="shared" si="0"/>
        <v>Fail</v>
      </c>
      <c r="C28" t="str">
        <f t="shared" si="1"/>
        <v>Needs Improvement</v>
      </c>
      <c r="D28" t="str">
        <f t="shared" si="2"/>
        <v>Fail</v>
      </c>
    </row>
    <row r="29" spans="1:4">
      <c r="A29">
        <v>79</v>
      </c>
      <c r="B29" t="str">
        <f t="shared" si="0"/>
        <v>Distinction</v>
      </c>
      <c r="C29" t="str">
        <f t="shared" si="1"/>
        <v>Good</v>
      </c>
      <c r="D29" t="str">
        <f t="shared" si="2"/>
        <v>Pass</v>
      </c>
    </row>
    <row r="30" spans="1:4">
      <c r="A30">
        <v>60</v>
      </c>
      <c r="B30" t="str">
        <f t="shared" si="0"/>
        <v>Pass</v>
      </c>
      <c r="C30" t="str">
        <f t="shared" si="1"/>
        <v>Needs Improvement</v>
      </c>
      <c r="D30" t="str">
        <f t="shared" si="2"/>
        <v>Pass</v>
      </c>
    </row>
    <row r="31" spans="1:4">
      <c r="A31">
        <v>40</v>
      </c>
      <c r="B31" t="str">
        <f t="shared" si="0"/>
        <v>Fail</v>
      </c>
      <c r="C31" t="str">
        <f t="shared" si="1"/>
        <v>Needs Improvement</v>
      </c>
      <c r="D31" t="str">
        <f t="shared" si="2"/>
        <v>Borderline</v>
      </c>
    </row>
    <row r="32" spans="1:4">
      <c r="A32">
        <v>99</v>
      </c>
      <c r="B32" t="str">
        <f t="shared" si="0"/>
        <v>Distinction</v>
      </c>
      <c r="C32" t="str">
        <f t="shared" si="1"/>
        <v>Oustanding</v>
      </c>
      <c r="D32" t="str">
        <f t="shared" si="2"/>
        <v>Pass</v>
      </c>
    </row>
    <row r="33" spans="1:4">
      <c r="A33">
        <v>32</v>
      </c>
      <c r="B33" t="str">
        <f t="shared" si="0"/>
        <v>Fail</v>
      </c>
      <c r="C33" t="str">
        <f t="shared" si="1"/>
        <v>Needs Improvement</v>
      </c>
      <c r="D33" t="str">
        <f t="shared" si="2"/>
        <v>Fail</v>
      </c>
    </row>
    <row r="34" spans="1:4">
      <c r="A34">
        <v>67</v>
      </c>
      <c r="B34" t="str">
        <f t="shared" si="0"/>
        <v>Pass</v>
      </c>
      <c r="C34" t="str">
        <f t="shared" si="1"/>
        <v>Needs Improvement</v>
      </c>
      <c r="D34" t="str">
        <f t="shared" si="2"/>
        <v>Pass</v>
      </c>
    </row>
    <row r="35" spans="1:4">
      <c r="A35">
        <v>32</v>
      </c>
      <c r="B35" t="str">
        <f t="shared" si="0"/>
        <v>Fail</v>
      </c>
      <c r="C35" t="str">
        <f t="shared" si="1"/>
        <v>Needs Improvement</v>
      </c>
      <c r="D35" t="str">
        <f t="shared" si="2"/>
        <v>Fail</v>
      </c>
    </row>
    <row r="36" spans="1:4">
      <c r="A36">
        <v>13</v>
      </c>
      <c r="B36" t="str">
        <f t="shared" si="0"/>
        <v>Fail</v>
      </c>
      <c r="C36" t="str">
        <f t="shared" si="1"/>
        <v>Needs Improvement</v>
      </c>
      <c r="D36" t="str">
        <f t="shared" si="2"/>
        <v>Fail</v>
      </c>
    </row>
    <row r="37" spans="1:4">
      <c r="A37">
        <v>20</v>
      </c>
      <c r="B37" t="str">
        <f t="shared" si="0"/>
        <v>Fail</v>
      </c>
      <c r="C37" t="str">
        <f t="shared" si="1"/>
        <v>Needs Improvement</v>
      </c>
      <c r="D37" t="str">
        <f t="shared" si="2"/>
        <v>Fail</v>
      </c>
    </row>
    <row r="38" spans="1:4">
      <c r="A38">
        <v>47</v>
      </c>
      <c r="B38" t="str">
        <f t="shared" si="0"/>
        <v>Fail</v>
      </c>
      <c r="C38" t="str">
        <f t="shared" si="1"/>
        <v>Needs Improvement</v>
      </c>
      <c r="D38" t="str">
        <f t="shared" si="2"/>
        <v>Borderline</v>
      </c>
    </row>
    <row r="39" spans="1:4">
      <c r="A39">
        <v>19</v>
      </c>
      <c r="B39" t="str">
        <f t="shared" si="0"/>
        <v>Fail</v>
      </c>
      <c r="C39" t="str">
        <f t="shared" si="1"/>
        <v>Needs Improvement</v>
      </c>
      <c r="D39" t="str">
        <f t="shared" si="2"/>
        <v>Fail</v>
      </c>
    </row>
    <row r="40" spans="1:4">
      <c r="A40">
        <v>7</v>
      </c>
      <c r="B40" t="str">
        <f t="shared" si="0"/>
        <v>Fail</v>
      </c>
      <c r="C40" t="str">
        <f t="shared" si="1"/>
        <v>Needs Improvement</v>
      </c>
      <c r="D40" t="str">
        <f t="shared" si="2"/>
        <v>Fail</v>
      </c>
    </row>
    <row r="41" spans="1:4">
      <c r="A41">
        <v>6</v>
      </c>
      <c r="B41" t="str">
        <f t="shared" si="0"/>
        <v>Fail</v>
      </c>
      <c r="C41" t="str">
        <f t="shared" si="1"/>
        <v>Needs Improvement</v>
      </c>
      <c r="D41" t="str">
        <f t="shared" si="2"/>
        <v>Fail</v>
      </c>
    </row>
    <row r="42" spans="1:4">
      <c r="A42">
        <v>66</v>
      </c>
      <c r="B42" t="str">
        <f t="shared" si="0"/>
        <v>Pass</v>
      </c>
      <c r="C42" t="str">
        <f t="shared" si="1"/>
        <v>Needs Improvement</v>
      </c>
      <c r="D42" t="str">
        <f t="shared" si="2"/>
        <v>Pass</v>
      </c>
    </row>
    <row r="43" spans="1:4">
      <c r="A43">
        <v>16</v>
      </c>
      <c r="B43" t="str">
        <f t="shared" si="0"/>
        <v>Fail</v>
      </c>
      <c r="C43" t="str">
        <f t="shared" si="1"/>
        <v>Needs Improvement</v>
      </c>
      <c r="D43" t="str">
        <f t="shared" si="2"/>
        <v>Fail</v>
      </c>
    </row>
    <row r="44" spans="1:4">
      <c r="A44">
        <v>32</v>
      </c>
      <c r="B44" t="str">
        <f t="shared" si="0"/>
        <v>Fail</v>
      </c>
      <c r="C44" t="str">
        <f t="shared" si="1"/>
        <v>Needs Improvement</v>
      </c>
      <c r="D44" t="str">
        <f t="shared" si="2"/>
        <v>Fail</v>
      </c>
    </row>
    <row r="45" spans="1:4">
      <c r="A45">
        <v>47</v>
      </c>
      <c r="B45" t="str">
        <f t="shared" si="0"/>
        <v>Fail</v>
      </c>
      <c r="C45" t="str">
        <f t="shared" si="1"/>
        <v>Needs Improvement</v>
      </c>
      <c r="D45" t="str">
        <f t="shared" si="2"/>
        <v>Borderline</v>
      </c>
    </row>
    <row r="46" spans="1:4">
      <c r="A46">
        <v>75</v>
      </c>
      <c r="B46" t="str">
        <f t="shared" si="0"/>
        <v>Distinction</v>
      </c>
      <c r="C46" t="str">
        <f t="shared" si="1"/>
        <v>Good</v>
      </c>
      <c r="D46" t="str">
        <f t="shared" si="2"/>
        <v>Pass</v>
      </c>
    </row>
    <row r="47" spans="1:4">
      <c r="A47">
        <v>58</v>
      </c>
      <c r="B47" t="str">
        <f t="shared" si="0"/>
        <v>Pass</v>
      </c>
      <c r="C47" t="str">
        <f t="shared" si="1"/>
        <v>Needs Improvement</v>
      </c>
      <c r="D47" t="str">
        <f t="shared" si="2"/>
        <v>Pass</v>
      </c>
    </row>
    <row r="48" spans="1:4">
      <c r="A48">
        <v>85</v>
      </c>
      <c r="B48" t="str">
        <f t="shared" si="0"/>
        <v>Distinction</v>
      </c>
      <c r="C48" t="str">
        <f t="shared" si="1"/>
        <v>Good</v>
      </c>
      <c r="D48" t="str">
        <f t="shared" si="2"/>
        <v>Pass</v>
      </c>
    </row>
    <row r="49" spans="1:4">
      <c r="A49">
        <v>21</v>
      </c>
      <c r="B49" t="str">
        <f t="shared" si="0"/>
        <v>Fail</v>
      </c>
      <c r="C49" t="str">
        <f t="shared" si="1"/>
        <v>Needs Improvement</v>
      </c>
      <c r="D49" t="str">
        <f t="shared" si="2"/>
        <v>Fail</v>
      </c>
    </row>
    <row r="50" spans="1:4">
      <c r="A50">
        <v>29</v>
      </c>
      <c r="B50" t="str">
        <f t="shared" si="0"/>
        <v>Fail</v>
      </c>
      <c r="C50" t="str">
        <f t="shared" si="1"/>
        <v>Needs Improvement</v>
      </c>
      <c r="D50" t="str">
        <f t="shared" si="2"/>
        <v>Fail</v>
      </c>
    </row>
    <row r="51" spans="1:4">
      <c r="A51">
        <v>37</v>
      </c>
      <c r="B51" t="str">
        <f t="shared" si="0"/>
        <v>Fail</v>
      </c>
      <c r="C51" t="str">
        <f t="shared" si="1"/>
        <v>Needs Improvement</v>
      </c>
      <c r="D51" t="str">
        <f t="shared" si="2"/>
        <v>Borderline</v>
      </c>
    </row>
    <row r="52" spans="1:4">
      <c r="A52">
        <v>50</v>
      </c>
      <c r="B52" t="str">
        <f t="shared" si="0"/>
        <v>Pass</v>
      </c>
      <c r="C52" t="str">
        <f t="shared" si="1"/>
        <v>Needs Improvement</v>
      </c>
      <c r="D52" t="str">
        <f t="shared" si="2"/>
        <v>Pass</v>
      </c>
    </row>
    <row r="53" spans="1:4">
      <c r="A53">
        <v>53</v>
      </c>
      <c r="B53" t="str">
        <f t="shared" si="0"/>
        <v>Pass</v>
      </c>
      <c r="C53" t="str">
        <f t="shared" si="1"/>
        <v>Needs Improvement</v>
      </c>
      <c r="D53" t="str">
        <f t="shared" si="2"/>
        <v>Pass</v>
      </c>
    </row>
    <row r="54" spans="1:4">
      <c r="A54">
        <v>7</v>
      </c>
      <c r="B54" t="str">
        <f t="shared" si="0"/>
        <v>Fail</v>
      </c>
      <c r="C54" t="str">
        <f t="shared" si="1"/>
        <v>Needs Improvement</v>
      </c>
      <c r="D54" t="str">
        <f t="shared" si="2"/>
        <v>Fail</v>
      </c>
    </row>
    <row r="55" spans="1:4">
      <c r="A55">
        <v>26</v>
      </c>
      <c r="B55" t="str">
        <f t="shared" si="0"/>
        <v>Fail</v>
      </c>
      <c r="C55" t="str">
        <f t="shared" si="1"/>
        <v>Needs Improvement</v>
      </c>
      <c r="D55" t="str">
        <f t="shared" si="2"/>
        <v>Fail</v>
      </c>
    </row>
    <row r="56" spans="1:4">
      <c r="A56">
        <v>26</v>
      </c>
      <c r="B56" t="str">
        <f t="shared" si="0"/>
        <v>Fail</v>
      </c>
      <c r="C56" t="str">
        <f t="shared" si="1"/>
        <v>Needs Improvement</v>
      </c>
      <c r="D56" t="str">
        <f t="shared" si="2"/>
        <v>Fail</v>
      </c>
    </row>
    <row r="57" spans="1:4">
      <c r="A57">
        <v>97</v>
      </c>
      <c r="B57" t="str">
        <f t="shared" si="0"/>
        <v>Distinction</v>
      </c>
      <c r="C57" t="str">
        <f t="shared" si="1"/>
        <v>Oustanding</v>
      </c>
      <c r="D57" t="str">
        <f t="shared" si="2"/>
        <v>Pass</v>
      </c>
    </row>
    <row r="58" spans="1:4">
      <c r="A58">
        <v>20</v>
      </c>
      <c r="B58" t="str">
        <f t="shared" si="0"/>
        <v>Fail</v>
      </c>
      <c r="C58" t="str">
        <f t="shared" si="1"/>
        <v>Needs Improvement</v>
      </c>
      <c r="D58" t="str">
        <f t="shared" si="2"/>
        <v>Fail</v>
      </c>
    </row>
    <row r="59" spans="1:4">
      <c r="A59">
        <v>29</v>
      </c>
      <c r="B59" t="str">
        <f t="shared" si="0"/>
        <v>Fail</v>
      </c>
      <c r="C59" t="str">
        <f t="shared" si="1"/>
        <v>Needs Improvement</v>
      </c>
      <c r="D59" t="str">
        <f t="shared" si="2"/>
        <v>Fail</v>
      </c>
    </row>
    <row r="60" spans="1:4">
      <c r="A60">
        <v>96</v>
      </c>
      <c r="B60" t="str">
        <f t="shared" si="0"/>
        <v>Distinction</v>
      </c>
      <c r="C60" t="str">
        <f t="shared" si="1"/>
        <v>Oustanding</v>
      </c>
      <c r="D60" t="str">
        <f t="shared" si="2"/>
        <v>Pass</v>
      </c>
    </row>
    <row r="61" spans="1:4">
      <c r="A61">
        <v>27</v>
      </c>
      <c r="B61" t="str">
        <f t="shared" si="0"/>
        <v>Fail</v>
      </c>
      <c r="C61" t="str">
        <f t="shared" si="1"/>
        <v>Needs Improvement</v>
      </c>
      <c r="D61" t="str">
        <f t="shared" si="2"/>
        <v>Fail</v>
      </c>
    </row>
    <row r="62" spans="1:4">
      <c r="A62">
        <v>63</v>
      </c>
      <c r="B62" t="str">
        <f t="shared" si="0"/>
        <v>Pass</v>
      </c>
      <c r="C62" t="str">
        <f t="shared" si="1"/>
        <v>Needs Improvement</v>
      </c>
      <c r="D62" t="str">
        <f t="shared" si="2"/>
        <v>Pass</v>
      </c>
    </row>
    <row r="63" spans="1:4">
      <c r="A63">
        <v>96</v>
      </c>
      <c r="B63" t="str">
        <f t="shared" si="0"/>
        <v>Distinction</v>
      </c>
      <c r="C63" t="str">
        <f t="shared" si="1"/>
        <v>Oustanding</v>
      </c>
      <c r="D63" t="str">
        <f t="shared" si="2"/>
        <v>Pass</v>
      </c>
    </row>
    <row r="64" spans="1:4">
      <c r="A64">
        <v>68</v>
      </c>
      <c r="B64" t="str">
        <f t="shared" si="0"/>
        <v>Pass</v>
      </c>
      <c r="C64" t="str">
        <f t="shared" si="1"/>
        <v>Needs Improvement</v>
      </c>
      <c r="D64" t="str">
        <f t="shared" si="2"/>
        <v>Pass</v>
      </c>
    </row>
    <row r="65" spans="1:4">
      <c r="A65">
        <v>60</v>
      </c>
      <c r="B65" t="str">
        <f t="shared" si="0"/>
        <v>Pass</v>
      </c>
      <c r="C65" t="str">
        <f t="shared" si="1"/>
        <v>Needs Improvement</v>
      </c>
      <c r="D65" t="str">
        <f t="shared" si="2"/>
        <v>Pass</v>
      </c>
    </row>
    <row r="66" spans="1:4">
      <c r="A66">
        <v>47</v>
      </c>
      <c r="B66" t="str">
        <f t="shared" si="0"/>
        <v>Fail</v>
      </c>
      <c r="C66" t="str">
        <f t="shared" si="1"/>
        <v>Needs Improvement</v>
      </c>
      <c r="D66" t="str">
        <f t="shared" si="2"/>
        <v>Borderline</v>
      </c>
    </row>
    <row r="67" spans="1:4">
      <c r="A67">
        <v>18</v>
      </c>
      <c r="B67" t="str">
        <f t="shared" ref="B67:B101" si="3">IF(A67&gt;=75,"Distinction",IF(A67&gt;=50,"Pass","Fail"))</f>
        <v>Fail</v>
      </c>
      <c r="C67" t="str">
        <f t="shared" ref="C67:C101" si="4">IF(A67=100,"Topper",IF(A67&gt;=90,"Oustanding",IF(A67&gt;=75,"Good","Needs Improvement")))</f>
        <v>Needs Improvement</v>
      </c>
      <c r="D67" t="str">
        <f t="shared" ref="D67:D101" si="5">IF(A67&lt;35,"Fail",IF(A67&lt;50,"Borderline","Pass"))</f>
        <v>Fail</v>
      </c>
    </row>
    <row r="68" spans="1:4">
      <c r="A68">
        <v>3</v>
      </c>
      <c r="B68" t="str">
        <f t="shared" si="3"/>
        <v>Fail</v>
      </c>
      <c r="C68" t="str">
        <f t="shared" si="4"/>
        <v>Needs Improvement</v>
      </c>
      <c r="D68" t="str">
        <f t="shared" si="5"/>
        <v>Fail</v>
      </c>
    </row>
    <row r="69" spans="1:4">
      <c r="A69">
        <v>34</v>
      </c>
      <c r="B69" t="str">
        <f t="shared" si="3"/>
        <v>Fail</v>
      </c>
      <c r="C69" t="str">
        <f t="shared" si="4"/>
        <v>Needs Improvement</v>
      </c>
      <c r="D69" t="str">
        <f t="shared" si="5"/>
        <v>Fail</v>
      </c>
    </row>
    <row r="70" spans="1:4">
      <c r="A70">
        <v>63</v>
      </c>
      <c r="B70" t="str">
        <f t="shared" si="3"/>
        <v>Pass</v>
      </c>
      <c r="C70" t="str">
        <f t="shared" si="4"/>
        <v>Needs Improvement</v>
      </c>
      <c r="D70" t="str">
        <f t="shared" si="5"/>
        <v>Pass</v>
      </c>
    </row>
    <row r="71" spans="1:4">
      <c r="A71">
        <v>48</v>
      </c>
      <c r="B71" t="str">
        <f t="shared" si="3"/>
        <v>Fail</v>
      </c>
      <c r="C71" t="str">
        <f t="shared" si="4"/>
        <v>Needs Improvement</v>
      </c>
      <c r="D71" t="str">
        <f t="shared" si="5"/>
        <v>Borderline</v>
      </c>
    </row>
    <row r="72" spans="1:4">
      <c r="A72">
        <v>16</v>
      </c>
      <c r="B72" t="str">
        <f t="shared" si="3"/>
        <v>Fail</v>
      </c>
      <c r="C72" t="str">
        <f t="shared" si="4"/>
        <v>Needs Improvement</v>
      </c>
      <c r="D72" t="str">
        <f t="shared" si="5"/>
        <v>Fail</v>
      </c>
    </row>
    <row r="73" spans="1:4">
      <c r="A73">
        <v>43</v>
      </c>
      <c r="B73" t="str">
        <f t="shared" si="3"/>
        <v>Fail</v>
      </c>
      <c r="C73" t="str">
        <f t="shared" si="4"/>
        <v>Needs Improvement</v>
      </c>
      <c r="D73" t="str">
        <f t="shared" si="5"/>
        <v>Borderline</v>
      </c>
    </row>
    <row r="74" spans="1:4">
      <c r="A74">
        <v>91</v>
      </c>
      <c r="B74" t="str">
        <f t="shared" si="3"/>
        <v>Distinction</v>
      </c>
      <c r="C74" t="str">
        <f t="shared" si="4"/>
        <v>Oustanding</v>
      </c>
      <c r="D74" t="str">
        <f t="shared" si="5"/>
        <v>Pass</v>
      </c>
    </row>
    <row r="75" spans="1:4">
      <c r="A75">
        <v>29</v>
      </c>
      <c r="B75" t="str">
        <f t="shared" si="3"/>
        <v>Fail</v>
      </c>
      <c r="C75" t="str">
        <f t="shared" si="4"/>
        <v>Needs Improvement</v>
      </c>
      <c r="D75" t="str">
        <f t="shared" si="5"/>
        <v>Fail</v>
      </c>
    </row>
    <row r="76" spans="1:4">
      <c r="A76">
        <v>92</v>
      </c>
      <c r="B76" t="str">
        <f t="shared" si="3"/>
        <v>Distinction</v>
      </c>
      <c r="C76" t="str">
        <f t="shared" si="4"/>
        <v>Oustanding</v>
      </c>
      <c r="D76" t="str">
        <f t="shared" si="5"/>
        <v>Pass</v>
      </c>
    </row>
    <row r="77" spans="1:4">
      <c r="A77">
        <v>45</v>
      </c>
      <c r="B77" t="str">
        <f t="shared" si="3"/>
        <v>Fail</v>
      </c>
      <c r="C77" t="str">
        <f t="shared" si="4"/>
        <v>Needs Improvement</v>
      </c>
      <c r="D77" t="str">
        <f t="shared" si="5"/>
        <v>Borderline</v>
      </c>
    </row>
    <row r="78" spans="1:4">
      <c r="A78">
        <v>5</v>
      </c>
      <c r="B78" t="str">
        <f t="shared" si="3"/>
        <v>Fail</v>
      </c>
      <c r="C78" t="str">
        <f t="shared" si="4"/>
        <v>Needs Improvement</v>
      </c>
      <c r="D78" t="str">
        <f t="shared" si="5"/>
        <v>Fail</v>
      </c>
    </row>
    <row r="79" spans="1:4">
      <c r="A79">
        <v>98</v>
      </c>
      <c r="B79" t="str">
        <f t="shared" si="3"/>
        <v>Distinction</v>
      </c>
      <c r="C79" t="str">
        <f t="shared" si="4"/>
        <v>Oustanding</v>
      </c>
      <c r="D79" t="str">
        <f t="shared" si="5"/>
        <v>Pass</v>
      </c>
    </row>
    <row r="80" spans="1:4">
      <c r="A80">
        <v>36</v>
      </c>
      <c r="B80" t="str">
        <f t="shared" si="3"/>
        <v>Fail</v>
      </c>
      <c r="C80" t="str">
        <f t="shared" si="4"/>
        <v>Needs Improvement</v>
      </c>
      <c r="D80" t="str">
        <f t="shared" si="5"/>
        <v>Borderline</v>
      </c>
    </row>
    <row r="81" spans="1:4">
      <c r="A81">
        <v>23</v>
      </c>
      <c r="B81" t="str">
        <f t="shared" si="3"/>
        <v>Fail</v>
      </c>
      <c r="C81" t="str">
        <f t="shared" si="4"/>
        <v>Needs Improvement</v>
      </c>
      <c r="D81" t="str">
        <f t="shared" si="5"/>
        <v>Fail</v>
      </c>
    </row>
    <row r="82" spans="1:4">
      <c r="A82">
        <v>92</v>
      </c>
      <c r="B82" t="str">
        <f t="shared" si="3"/>
        <v>Distinction</v>
      </c>
      <c r="C82" t="str">
        <f t="shared" si="4"/>
        <v>Oustanding</v>
      </c>
      <c r="D82" t="str">
        <f t="shared" si="5"/>
        <v>Pass</v>
      </c>
    </row>
    <row r="83" spans="1:4">
      <c r="A83">
        <v>45</v>
      </c>
      <c r="B83" t="str">
        <f t="shared" si="3"/>
        <v>Fail</v>
      </c>
      <c r="C83" t="str">
        <f t="shared" si="4"/>
        <v>Needs Improvement</v>
      </c>
      <c r="D83" t="str">
        <f t="shared" si="5"/>
        <v>Borderline</v>
      </c>
    </row>
    <row r="84" spans="1:4">
      <c r="A84">
        <v>52</v>
      </c>
      <c r="B84" t="str">
        <f t="shared" si="3"/>
        <v>Pass</v>
      </c>
      <c r="C84" t="str">
        <f t="shared" si="4"/>
        <v>Needs Improvement</v>
      </c>
      <c r="D84" t="str">
        <f t="shared" si="5"/>
        <v>Pass</v>
      </c>
    </row>
    <row r="85" spans="1:4">
      <c r="A85">
        <v>94</v>
      </c>
      <c r="B85" t="str">
        <f t="shared" si="3"/>
        <v>Distinction</v>
      </c>
      <c r="C85" t="str">
        <f t="shared" si="4"/>
        <v>Oustanding</v>
      </c>
      <c r="D85" t="str">
        <f t="shared" si="5"/>
        <v>Pass</v>
      </c>
    </row>
    <row r="86" spans="1:4">
      <c r="A86">
        <v>98</v>
      </c>
      <c r="B86" t="str">
        <f t="shared" si="3"/>
        <v>Distinction</v>
      </c>
      <c r="C86" t="str">
        <f t="shared" si="4"/>
        <v>Oustanding</v>
      </c>
      <c r="D86" t="str">
        <f t="shared" si="5"/>
        <v>Pass</v>
      </c>
    </row>
    <row r="87" spans="1:4">
      <c r="A87">
        <v>59</v>
      </c>
      <c r="B87" t="str">
        <f t="shared" si="3"/>
        <v>Pass</v>
      </c>
      <c r="C87" t="str">
        <f t="shared" si="4"/>
        <v>Needs Improvement</v>
      </c>
      <c r="D87" t="str">
        <f t="shared" si="5"/>
        <v>Pass</v>
      </c>
    </row>
    <row r="88" spans="1:4">
      <c r="A88">
        <v>96</v>
      </c>
      <c r="B88" t="str">
        <f t="shared" si="3"/>
        <v>Distinction</v>
      </c>
      <c r="C88" t="str">
        <f t="shared" si="4"/>
        <v>Oustanding</v>
      </c>
      <c r="D88" t="str">
        <f t="shared" si="5"/>
        <v>Pass</v>
      </c>
    </row>
    <row r="89" spans="1:4">
      <c r="A89">
        <v>62</v>
      </c>
      <c r="B89" t="str">
        <f t="shared" si="3"/>
        <v>Pass</v>
      </c>
      <c r="C89" t="str">
        <f t="shared" si="4"/>
        <v>Needs Improvement</v>
      </c>
      <c r="D89" t="str">
        <f t="shared" si="5"/>
        <v>Pass</v>
      </c>
    </row>
    <row r="90" spans="1:4">
      <c r="A90">
        <v>84</v>
      </c>
      <c r="B90" t="str">
        <f t="shared" si="3"/>
        <v>Distinction</v>
      </c>
      <c r="C90" t="str">
        <f t="shared" si="4"/>
        <v>Good</v>
      </c>
      <c r="D90" t="str">
        <f t="shared" si="5"/>
        <v>Pass</v>
      </c>
    </row>
    <row r="91" spans="1:4">
      <c r="A91">
        <v>31</v>
      </c>
      <c r="B91" t="str">
        <f t="shared" si="3"/>
        <v>Fail</v>
      </c>
      <c r="C91" t="str">
        <f t="shared" si="4"/>
        <v>Needs Improvement</v>
      </c>
      <c r="D91" t="str">
        <f t="shared" si="5"/>
        <v>Fail</v>
      </c>
    </row>
    <row r="92" spans="1:4">
      <c r="A92">
        <v>86</v>
      </c>
      <c r="B92" t="str">
        <f t="shared" si="3"/>
        <v>Distinction</v>
      </c>
      <c r="C92" t="str">
        <f t="shared" si="4"/>
        <v>Good</v>
      </c>
      <c r="D92" t="str">
        <f t="shared" si="5"/>
        <v>Pass</v>
      </c>
    </row>
    <row r="93" spans="1:4">
      <c r="A93">
        <v>32</v>
      </c>
      <c r="B93" t="str">
        <f t="shared" si="3"/>
        <v>Fail</v>
      </c>
      <c r="C93" t="str">
        <f t="shared" si="4"/>
        <v>Needs Improvement</v>
      </c>
      <c r="D93" t="str">
        <f t="shared" si="5"/>
        <v>Fail</v>
      </c>
    </row>
    <row r="94" spans="1:4">
      <c r="A94">
        <v>66</v>
      </c>
      <c r="B94" t="str">
        <f t="shared" si="3"/>
        <v>Pass</v>
      </c>
      <c r="C94" t="str">
        <f t="shared" si="4"/>
        <v>Needs Improvement</v>
      </c>
      <c r="D94" t="str">
        <f t="shared" si="5"/>
        <v>Pass</v>
      </c>
    </row>
    <row r="95" spans="1:4">
      <c r="A95">
        <v>17</v>
      </c>
      <c r="B95" t="str">
        <f t="shared" si="3"/>
        <v>Fail</v>
      </c>
      <c r="C95" t="str">
        <f t="shared" si="4"/>
        <v>Needs Improvement</v>
      </c>
      <c r="D95" t="str">
        <f t="shared" si="5"/>
        <v>Fail</v>
      </c>
    </row>
    <row r="96" spans="1:4">
      <c r="A96">
        <v>24</v>
      </c>
      <c r="B96" t="str">
        <f t="shared" si="3"/>
        <v>Fail</v>
      </c>
      <c r="C96" t="str">
        <f t="shared" si="4"/>
        <v>Needs Improvement</v>
      </c>
      <c r="D96" t="str">
        <f t="shared" si="5"/>
        <v>Fail</v>
      </c>
    </row>
    <row r="97" spans="1:4">
      <c r="A97">
        <v>94</v>
      </c>
      <c r="B97" t="str">
        <f t="shared" si="3"/>
        <v>Distinction</v>
      </c>
      <c r="C97" t="str">
        <f t="shared" si="4"/>
        <v>Oustanding</v>
      </c>
      <c r="D97" t="str">
        <f t="shared" si="5"/>
        <v>Pass</v>
      </c>
    </row>
    <row r="98" spans="1:4">
      <c r="A98">
        <v>53</v>
      </c>
      <c r="B98" t="str">
        <f t="shared" si="3"/>
        <v>Pass</v>
      </c>
      <c r="C98" t="str">
        <f t="shared" si="4"/>
        <v>Needs Improvement</v>
      </c>
      <c r="D98" t="str">
        <f t="shared" si="5"/>
        <v>Pass</v>
      </c>
    </row>
    <row r="99" spans="1:4">
      <c r="A99">
        <v>57</v>
      </c>
      <c r="B99" t="str">
        <f t="shared" si="3"/>
        <v>Pass</v>
      </c>
      <c r="C99" t="str">
        <f t="shared" si="4"/>
        <v>Needs Improvement</v>
      </c>
      <c r="D99" t="str">
        <f t="shared" si="5"/>
        <v>Pass</v>
      </c>
    </row>
    <row r="100" spans="1:4">
      <c r="A100">
        <v>66</v>
      </c>
      <c r="B100" t="str">
        <f t="shared" si="3"/>
        <v>Pass</v>
      </c>
      <c r="C100" t="str">
        <f t="shared" si="4"/>
        <v>Needs Improvement</v>
      </c>
      <c r="D100" t="str">
        <f t="shared" si="5"/>
        <v>Pass</v>
      </c>
    </row>
    <row r="101" spans="1:4">
      <c r="A101">
        <v>45</v>
      </c>
      <c r="B101" t="str">
        <f t="shared" si="3"/>
        <v>Fail</v>
      </c>
      <c r="C101" t="str">
        <f t="shared" si="4"/>
        <v>Needs Improvement</v>
      </c>
      <c r="D101" t="str">
        <f t="shared" si="5"/>
        <v>Borderline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"/>
  <sheetViews>
    <sheetView topLeftCell="H1" zoomScale="125" workbookViewId="0">
      <selection activeCell="M13" sqref="M13"/>
    </sheetView>
  </sheetViews>
  <sheetFormatPr defaultRowHeight="14.5"/>
  <cols>
    <col min="4" max="4" width="16.81640625" bestFit="1" customWidth="1"/>
    <col min="5" max="5" width="7.81640625" bestFit="1" customWidth="1"/>
    <col min="6" max="6" width="7.81640625" customWidth="1"/>
    <col min="7" max="7" width="72.81640625" bestFit="1" customWidth="1"/>
    <col min="9" max="9" width="7.54296875" bestFit="1" customWidth="1"/>
    <col min="10" max="10" width="16.08984375" bestFit="1" customWidth="1"/>
    <col min="11" max="11" width="11.36328125" bestFit="1" customWidth="1"/>
    <col min="12" max="12" width="5.26953125" bestFit="1" customWidth="1"/>
    <col min="14" max="14" width="14.7265625" bestFit="1" customWidth="1"/>
    <col min="15" max="15" width="13" bestFit="1" customWidth="1"/>
  </cols>
  <sheetData>
    <row r="1" spans="1:19">
      <c r="A1" s="1" t="s">
        <v>1</v>
      </c>
      <c r="B1" s="1" t="s">
        <v>2</v>
      </c>
      <c r="C1" s="23" t="s">
        <v>2438</v>
      </c>
      <c r="D1" s="23" t="s">
        <v>2438</v>
      </c>
      <c r="E1" s="23" t="s">
        <v>2439</v>
      </c>
      <c r="F1" s="23"/>
      <c r="I1" s="2" t="s">
        <v>8</v>
      </c>
      <c r="J1" s="2" t="s">
        <v>9</v>
      </c>
      <c r="K1" s="3" t="s">
        <v>10</v>
      </c>
      <c r="L1" s="2" t="s">
        <v>11</v>
      </c>
      <c r="M1" s="4" t="s">
        <v>12</v>
      </c>
      <c r="N1" s="24" t="s">
        <v>2440</v>
      </c>
      <c r="O1" s="24" t="s">
        <v>2441</v>
      </c>
    </row>
    <row r="2" spans="1:19" ht="23.5">
      <c r="A2">
        <v>80</v>
      </c>
      <c r="B2">
        <v>89</v>
      </c>
      <c r="C2" t="str">
        <f>IF(AND(A2&gt;=50,B2&gt;=50),"Pass","Fail")</f>
        <v>Pass</v>
      </c>
      <c r="D2" t="str">
        <f>IF(AND(A2&gt;=80,B2&gt;=80),"Scholorship Eligible","Not Eligible")</f>
        <v>Scholorship Eligible</v>
      </c>
      <c r="E2" t="str">
        <f>IF(OR(A2&gt;=60,B2&gt;=60),"Good","Improve")</f>
        <v>Good</v>
      </c>
      <c r="G2" s="10" t="s">
        <v>57</v>
      </c>
      <c r="I2" t="s">
        <v>15</v>
      </c>
      <c r="J2" t="s">
        <v>16</v>
      </c>
      <c r="K2" s="5" t="s">
        <v>17</v>
      </c>
      <c r="L2">
        <v>21</v>
      </c>
      <c r="M2" s="6">
        <v>50000</v>
      </c>
      <c r="N2" t="str">
        <f t="shared" ref="N2:N11" si="0">IF(AND(K2="Finance",M2&gt;=50000),"Yes","No")</f>
        <v>Yes</v>
      </c>
      <c r="O2" t="str">
        <f>IF(OR(K2="Finance",M2&gt;=50000),"Yes","No")</f>
        <v>Yes</v>
      </c>
      <c r="Q2" s="20" t="s">
        <v>47</v>
      </c>
      <c r="R2" s="20"/>
      <c r="S2" s="9" t="s">
        <v>48</v>
      </c>
    </row>
    <row r="3" spans="1:19">
      <c r="A3">
        <v>25</v>
      </c>
      <c r="B3">
        <v>71</v>
      </c>
      <c r="C3" t="str">
        <f t="shared" ref="C3:C66" si="1">IF(AND(A3&gt;=50,B3&gt;=50),"Pass","Fail")</f>
        <v>Fail</v>
      </c>
      <c r="D3" t="str">
        <f t="shared" ref="D3:D66" si="2">IF(AND(A3&gt;=80,B3&gt;=80),"Scholorship Eligible","Not Eligible")</f>
        <v>Not Eligible</v>
      </c>
      <c r="E3" t="str">
        <f t="shared" ref="E3:E66" si="3">IF(OR(A3&gt;=60,B3&gt;=60),"Good","Improve")</f>
        <v>Good</v>
      </c>
      <c r="I3" t="s">
        <v>18</v>
      </c>
      <c r="J3" t="s">
        <v>19</v>
      </c>
      <c r="K3" s="5" t="s">
        <v>20</v>
      </c>
      <c r="L3">
        <v>34</v>
      </c>
      <c r="M3" s="6">
        <v>50000</v>
      </c>
      <c r="N3" t="str">
        <f t="shared" si="0"/>
        <v>No</v>
      </c>
      <c r="O3" t="str">
        <f t="shared" ref="O3:O11" si="4">IF(OR(K3="Finance",M3&gt;=50000),"Yes","No")</f>
        <v>Yes</v>
      </c>
      <c r="Q3" s="9" t="s">
        <v>17</v>
      </c>
      <c r="R3" s="9" t="s">
        <v>49</v>
      </c>
      <c r="S3" s="9" t="s">
        <v>50</v>
      </c>
    </row>
    <row r="4" spans="1:19">
      <c r="A4">
        <v>88</v>
      </c>
      <c r="B4">
        <v>26</v>
      </c>
      <c r="C4" t="str">
        <f t="shared" si="1"/>
        <v>Fail</v>
      </c>
      <c r="D4" t="str">
        <f t="shared" si="2"/>
        <v>Not Eligible</v>
      </c>
      <c r="E4" t="str">
        <f t="shared" si="3"/>
        <v>Good</v>
      </c>
      <c r="G4" t="s">
        <v>53</v>
      </c>
      <c r="I4" t="s">
        <v>22</v>
      </c>
      <c r="J4" t="s">
        <v>23</v>
      </c>
      <c r="K4" s="5" t="s">
        <v>17</v>
      </c>
      <c r="L4">
        <v>23</v>
      </c>
      <c r="M4" s="6">
        <v>23000</v>
      </c>
      <c r="N4" t="str">
        <f t="shared" si="0"/>
        <v>No</v>
      </c>
      <c r="O4" t="str">
        <f t="shared" si="4"/>
        <v>Yes</v>
      </c>
    </row>
    <row r="5" spans="1:19">
      <c r="A5">
        <v>59</v>
      </c>
      <c r="B5">
        <v>8</v>
      </c>
      <c r="C5" t="str">
        <f t="shared" si="1"/>
        <v>Fail</v>
      </c>
      <c r="D5" t="str">
        <f t="shared" si="2"/>
        <v>Not Eligible</v>
      </c>
      <c r="E5" t="str">
        <f t="shared" si="3"/>
        <v>Improve</v>
      </c>
      <c r="G5" s="11"/>
      <c r="I5" t="s">
        <v>26</v>
      </c>
      <c r="J5" t="s">
        <v>27</v>
      </c>
      <c r="K5" s="5" t="s">
        <v>17</v>
      </c>
      <c r="L5">
        <v>43</v>
      </c>
      <c r="M5" s="6">
        <v>50000</v>
      </c>
      <c r="N5" t="str">
        <f t="shared" si="0"/>
        <v>Yes</v>
      </c>
      <c r="O5" t="str">
        <f t="shared" si="4"/>
        <v>Yes</v>
      </c>
    </row>
    <row r="6" spans="1:19">
      <c r="A6">
        <v>40</v>
      </c>
      <c r="B6">
        <v>61</v>
      </c>
      <c r="C6" t="str">
        <f t="shared" si="1"/>
        <v>Fail</v>
      </c>
      <c r="D6" t="str">
        <f t="shared" si="2"/>
        <v>Not Eligible</v>
      </c>
      <c r="E6" t="str">
        <f t="shared" si="3"/>
        <v>Good</v>
      </c>
      <c r="G6" s="11" t="s">
        <v>58</v>
      </c>
      <c r="I6" t="s">
        <v>30</v>
      </c>
      <c r="J6" t="s">
        <v>31</v>
      </c>
      <c r="K6" s="5" t="s">
        <v>4</v>
      </c>
      <c r="L6">
        <v>54</v>
      </c>
      <c r="M6" s="6">
        <v>32000</v>
      </c>
      <c r="N6" t="str">
        <f t="shared" si="0"/>
        <v>No</v>
      </c>
      <c r="O6" t="str">
        <f t="shared" si="4"/>
        <v>No</v>
      </c>
      <c r="Q6" s="20" t="s">
        <v>51</v>
      </c>
      <c r="R6" s="20"/>
      <c r="S6" s="9" t="s">
        <v>48</v>
      </c>
    </row>
    <row r="7" spans="1:19">
      <c r="A7">
        <v>28</v>
      </c>
      <c r="B7">
        <v>36</v>
      </c>
      <c r="C7" t="str">
        <f t="shared" si="1"/>
        <v>Fail</v>
      </c>
      <c r="D7" t="str">
        <f t="shared" si="2"/>
        <v>Not Eligible</v>
      </c>
      <c r="E7" t="str">
        <f t="shared" si="3"/>
        <v>Improve</v>
      </c>
      <c r="G7" s="11"/>
      <c r="I7" t="s">
        <v>32</v>
      </c>
      <c r="J7" t="s">
        <v>33</v>
      </c>
      <c r="K7" s="5" t="s">
        <v>34</v>
      </c>
      <c r="L7">
        <v>40</v>
      </c>
      <c r="M7" s="6">
        <v>43000</v>
      </c>
      <c r="N7" t="str">
        <f t="shared" si="0"/>
        <v>No</v>
      </c>
      <c r="O7" t="str">
        <f t="shared" si="4"/>
        <v>No</v>
      </c>
      <c r="Q7" s="9" t="s">
        <v>17</v>
      </c>
      <c r="R7" s="9" t="s">
        <v>49</v>
      </c>
      <c r="S7" s="9" t="s">
        <v>50</v>
      </c>
    </row>
    <row r="8" spans="1:19">
      <c r="A8">
        <v>14</v>
      </c>
      <c r="B8">
        <v>96</v>
      </c>
      <c r="C8" t="str">
        <f t="shared" si="1"/>
        <v>Fail</v>
      </c>
      <c r="D8" t="str">
        <f t="shared" si="2"/>
        <v>Not Eligible</v>
      </c>
      <c r="E8" t="str">
        <f t="shared" si="3"/>
        <v>Good</v>
      </c>
      <c r="G8" s="11" t="s">
        <v>59</v>
      </c>
      <c r="I8" t="s">
        <v>35</v>
      </c>
      <c r="J8" t="s">
        <v>36</v>
      </c>
      <c r="K8" s="5" t="s">
        <v>4</v>
      </c>
      <c r="L8">
        <v>32</v>
      </c>
      <c r="M8" s="6">
        <v>23000</v>
      </c>
      <c r="N8" t="str">
        <f t="shared" si="0"/>
        <v>No</v>
      </c>
      <c r="O8" t="str">
        <f t="shared" si="4"/>
        <v>No</v>
      </c>
    </row>
    <row r="9" spans="1:19">
      <c r="A9">
        <v>44</v>
      </c>
      <c r="B9">
        <v>50</v>
      </c>
      <c r="C9" t="str">
        <f t="shared" si="1"/>
        <v>Fail</v>
      </c>
      <c r="D9" t="str">
        <f t="shared" si="2"/>
        <v>Not Eligible</v>
      </c>
      <c r="E9" t="str">
        <f t="shared" si="3"/>
        <v>Improve</v>
      </c>
      <c r="G9" s="11"/>
      <c r="I9" t="s">
        <v>37</v>
      </c>
      <c r="J9" t="s">
        <v>38</v>
      </c>
      <c r="K9" s="5" t="s">
        <v>34</v>
      </c>
      <c r="L9" s="7">
        <v>23</v>
      </c>
      <c r="M9" s="6">
        <v>40000</v>
      </c>
      <c r="N9" t="str">
        <f t="shared" si="0"/>
        <v>No</v>
      </c>
      <c r="O9" t="str">
        <f t="shared" si="4"/>
        <v>No</v>
      </c>
    </row>
    <row r="10" spans="1:19">
      <c r="A10">
        <v>64</v>
      </c>
      <c r="B10">
        <v>43</v>
      </c>
      <c r="C10" t="str">
        <f t="shared" si="1"/>
        <v>Fail</v>
      </c>
      <c r="D10" t="str">
        <f t="shared" si="2"/>
        <v>Not Eligible</v>
      </c>
      <c r="E10" t="str">
        <f t="shared" si="3"/>
        <v>Good</v>
      </c>
      <c r="G10" s="11" t="s">
        <v>60</v>
      </c>
      <c r="I10" t="s">
        <v>40</v>
      </c>
      <c r="J10" t="s">
        <v>41</v>
      </c>
      <c r="K10" s="5" t="s">
        <v>20</v>
      </c>
      <c r="L10">
        <v>32</v>
      </c>
      <c r="M10" s="6">
        <v>43000</v>
      </c>
      <c r="N10" t="str">
        <f t="shared" si="0"/>
        <v>No</v>
      </c>
      <c r="O10" t="str">
        <f t="shared" si="4"/>
        <v>No</v>
      </c>
    </row>
    <row r="11" spans="1:19">
      <c r="A11">
        <v>88</v>
      </c>
      <c r="B11">
        <v>23</v>
      </c>
      <c r="C11" t="str">
        <f t="shared" si="1"/>
        <v>Fail</v>
      </c>
      <c r="D11" t="str">
        <f t="shared" si="2"/>
        <v>Not Eligible</v>
      </c>
      <c r="E11" t="str">
        <f t="shared" si="3"/>
        <v>Good</v>
      </c>
      <c r="I11" t="s">
        <v>43</v>
      </c>
      <c r="J11" t="s">
        <v>44</v>
      </c>
      <c r="K11" s="5" t="s">
        <v>20</v>
      </c>
      <c r="L11">
        <v>43</v>
      </c>
      <c r="M11" s="6">
        <v>37000</v>
      </c>
      <c r="N11" t="str">
        <f t="shared" si="0"/>
        <v>No</v>
      </c>
      <c r="O11" t="str">
        <f t="shared" si="4"/>
        <v>No</v>
      </c>
    </row>
    <row r="12" spans="1:19">
      <c r="A12">
        <v>70</v>
      </c>
      <c r="B12">
        <v>78</v>
      </c>
      <c r="C12" t="str">
        <f t="shared" si="1"/>
        <v>Pass</v>
      </c>
      <c r="D12" t="str">
        <f t="shared" si="2"/>
        <v>Not Eligible</v>
      </c>
      <c r="E12" t="str">
        <f t="shared" si="3"/>
        <v>Good</v>
      </c>
    </row>
    <row r="13" spans="1:19">
      <c r="A13">
        <v>8</v>
      </c>
      <c r="B13">
        <v>58</v>
      </c>
      <c r="C13" t="str">
        <f t="shared" si="1"/>
        <v>Fail</v>
      </c>
      <c r="D13" t="str">
        <f t="shared" si="2"/>
        <v>Not Eligible</v>
      </c>
      <c r="E13" t="str">
        <f t="shared" si="3"/>
        <v>Improve</v>
      </c>
    </row>
    <row r="14" spans="1:19">
      <c r="A14">
        <v>87</v>
      </c>
      <c r="B14">
        <v>31</v>
      </c>
      <c r="C14" t="str">
        <f t="shared" si="1"/>
        <v>Fail</v>
      </c>
      <c r="D14" t="str">
        <f t="shared" si="2"/>
        <v>Not Eligible</v>
      </c>
      <c r="E14" t="str">
        <f t="shared" si="3"/>
        <v>Good</v>
      </c>
    </row>
    <row r="15" spans="1:19">
      <c r="A15">
        <v>0</v>
      </c>
      <c r="B15">
        <v>95</v>
      </c>
      <c r="C15" t="str">
        <f t="shared" si="1"/>
        <v>Fail</v>
      </c>
      <c r="D15" t="str">
        <f t="shared" si="2"/>
        <v>Not Eligible</v>
      </c>
      <c r="E15" t="str">
        <f t="shared" si="3"/>
        <v>Good</v>
      </c>
    </row>
    <row r="16" spans="1:19">
      <c r="A16">
        <v>7</v>
      </c>
      <c r="B16">
        <v>87</v>
      </c>
      <c r="C16" t="str">
        <f t="shared" si="1"/>
        <v>Fail</v>
      </c>
      <c r="D16" t="str">
        <f t="shared" si="2"/>
        <v>Not Eligible</v>
      </c>
      <c r="E16" t="str">
        <f t="shared" si="3"/>
        <v>Good</v>
      </c>
    </row>
    <row r="17" spans="1:5">
      <c r="A17">
        <v>87</v>
      </c>
      <c r="B17">
        <v>51</v>
      </c>
      <c r="C17" t="str">
        <f t="shared" si="1"/>
        <v>Pass</v>
      </c>
      <c r="D17" t="str">
        <f t="shared" si="2"/>
        <v>Not Eligible</v>
      </c>
      <c r="E17" t="str">
        <f t="shared" si="3"/>
        <v>Good</v>
      </c>
    </row>
    <row r="18" spans="1:5">
      <c r="A18">
        <v>62</v>
      </c>
      <c r="B18">
        <v>61</v>
      </c>
      <c r="C18" t="str">
        <f t="shared" si="1"/>
        <v>Pass</v>
      </c>
      <c r="D18" t="str">
        <f t="shared" si="2"/>
        <v>Not Eligible</v>
      </c>
      <c r="E18" t="str">
        <f t="shared" si="3"/>
        <v>Good</v>
      </c>
    </row>
    <row r="19" spans="1:5">
      <c r="A19">
        <v>10</v>
      </c>
      <c r="B19">
        <v>57</v>
      </c>
      <c r="C19" t="str">
        <f t="shared" si="1"/>
        <v>Fail</v>
      </c>
      <c r="D19" t="str">
        <f t="shared" si="2"/>
        <v>Not Eligible</v>
      </c>
      <c r="E19" t="str">
        <f t="shared" si="3"/>
        <v>Improve</v>
      </c>
    </row>
    <row r="20" spans="1:5">
      <c r="A20">
        <v>80</v>
      </c>
      <c r="B20">
        <v>51</v>
      </c>
      <c r="C20" t="str">
        <f t="shared" si="1"/>
        <v>Pass</v>
      </c>
      <c r="D20" t="str">
        <f t="shared" si="2"/>
        <v>Not Eligible</v>
      </c>
      <c r="E20" t="str">
        <f t="shared" si="3"/>
        <v>Good</v>
      </c>
    </row>
    <row r="21" spans="1:5">
      <c r="A21">
        <v>7</v>
      </c>
      <c r="B21">
        <v>11</v>
      </c>
      <c r="C21" t="str">
        <f t="shared" si="1"/>
        <v>Fail</v>
      </c>
      <c r="D21" t="str">
        <f t="shared" si="2"/>
        <v>Not Eligible</v>
      </c>
      <c r="E21" t="str">
        <f t="shared" si="3"/>
        <v>Improve</v>
      </c>
    </row>
    <row r="22" spans="1:5">
      <c r="A22">
        <v>34</v>
      </c>
      <c r="B22">
        <v>38</v>
      </c>
      <c r="C22" t="str">
        <f t="shared" si="1"/>
        <v>Fail</v>
      </c>
      <c r="D22" t="str">
        <f t="shared" si="2"/>
        <v>Not Eligible</v>
      </c>
      <c r="E22" t="str">
        <f t="shared" si="3"/>
        <v>Improve</v>
      </c>
    </row>
    <row r="23" spans="1:5">
      <c r="A23">
        <v>34</v>
      </c>
      <c r="B23">
        <v>1</v>
      </c>
      <c r="C23" t="str">
        <f t="shared" si="1"/>
        <v>Fail</v>
      </c>
      <c r="D23" t="str">
        <f t="shared" si="2"/>
        <v>Not Eligible</v>
      </c>
      <c r="E23" t="str">
        <f t="shared" si="3"/>
        <v>Improve</v>
      </c>
    </row>
    <row r="24" spans="1:5">
      <c r="A24">
        <v>32</v>
      </c>
      <c r="B24">
        <v>2</v>
      </c>
      <c r="C24" t="str">
        <f t="shared" si="1"/>
        <v>Fail</v>
      </c>
      <c r="D24" t="str">
        <f t="shared" si="2"/>
        <v>Not Eligible</v>
      </c>
      <c r="E24" t="str">
        <f t="shared" si="3"/>
        <v>Improve</v>
      </c>
    </row>
    <row r="25" spans="1:5">
      <c r="A25">
        <v>4</v>
      </c>
      <c r="B25">
        <v>100</v>
      </c>
      <c r="C25" t="str">
        <f t="shared" si="1"/>
        <v>Fail</v>
      </c>
      <c r="D25" t="str">
        <f t="shared" si="2"/>
        <v>Not Eligible</v>
      </c>
      <c r="E25" t="str">
        <f t="shared" si="3"/>
        <v>Good</v>
      </c>
    </row>
    <row r="26" spans="1:5">
      <c r="A26">
        <v>40</v>
      </c>
      <c r="B26">
        <v>55</v>
      </c>
      <c r="C26" t="str">
        <f t="shared" si="1"/>
        <v>Fail</v>
      </c>
      <c r="D26" t="str">
        <f t="shared" si="2"/>
        <v>Not Eligible</v>
      </c>
      <c r="E26" t="str">
        <f t="shared" si="3"/>
        <v>Improve</v>
      </c>
    </row>
    <row r="27" spans="1:5">
      <c r="A27">
        <v>27</v>
      </c>
      <c r="B27">
        <v>80</v>
      </c>
      <c r="C27" t="str">
        <f t="shared" si="1"/>
        <v>Fail</v>
      </c>
      <c r="D27" t="str">
        <f t="shared" si="2"/>
        <v>Not Eligible</v>
      </c>
      <c r="E27" t="str">
        <f t="shared" si="3"/>
        <v>Good</v>
      </c>
    </row>
    <row r="28" spans="1:5">
      <c r="A28">
        <v>6</v>
      </c>
      <c r="B28">
        <v>58</v>
      </c>
      <c r="C28" t="str">
        <f t="shared" si="1"/>
        <v>Fail</v>
      </c>
      <c r="D28" t="str">
        <f t="shared" si="2"/>
        <v>Not Eligible</v>
      </c>
      <c r="E28" t="str">
        <f t="shared" si="3"/>
        <v>Improve</v>
      </c>
    </row>
    <row r="29" spans="1:5">
      <c r="A29">
        <v>72</v>
      </c>
      <c r="B29">
        <v>1</v>
      </c>
      <c r="C29" t="str">
        <f t="shared" si="1"/>
        <v>Fail</v>
      </c>
      <c r="D29" t="str">
        <f t="shared" si="2"/>
        <v>Not Eligible</v>
      </c>
      <c r="E29" t="str">
        <f t="shared" si="3"/>
        <v>Good</v>
      </c>
    </row>
    <row r="30" spans="1:5">
      <c r="A30">
        <v>71</v>
      </c>
      <c r="B30">
        <v>1</v>
      </c>
      <c r="C30" t="str">
        <f t="shared" si="1"/>
        <v>Fail</v>
      </c>
      <c r="D30" t="str">
        <f t="shared" si="2"/>
        <v>Not Eligible</v>
      </c>
      <c r="E30" t="str">
        <f t="shared" si="3"/>
        <v>Good</v>
      </c>
    </row>
    <row r="31" spans="1:5">
      <c r="A31">
        <v>11</v>
      </c>
      <c r="B31">
        <v>91</v>
      </c>
      <c r="C31" t="str">
        <f t="shared" si="1"/>
        <v>Fail</v>
      </c>
      <c r="D31" t="str">
        <f t="shared" si="2"/>
        <v>Not Eligible</v>
      </c>
      <c r="E31" t="str">
        <f t="shared" si="3"/>
        <v>Good</v>
      </c>
    </row>
    <row r="32" spans="1:5">
      <c r="A32">
        <v>33</v>
      </c>
      <c r="B32">
        <v>53</v>
      </c>
      <c r="C32" t="str">
        <f t="shared" si="1"/>
        <v>Fail</v>
      </c>
      <c r="D32" t="str">
        <f t="shared" si="2"/>
        <v>Not Eligible</v>
      </c>
      <c r="E32" t="str">
        <f t="shared" si="3"/>
        <v>Improve</v>
      </c>
    </row>
    <row r="33" spans="1:5">
      <c r="A33">
        <v>32</v>
      </c>
      <c r="B33">
        <v>86</v>
      </c>
      <c r="C33" t="str">
        <f t="shared" si="1"/>
        <v>Fail</v>
      </c>
      <c r="D33" t="str">
        <f t="shared" si="2"/>
        <v>Not Eligible</v>
      </c>
      <c r="E33" t="str">
        <f t="shared" si="3"/>
        <v>Good</v>
      </c>
    </row>
    <row r="34" spans="1:5">
      <c r="A34">
        <v>47</v>
      </c>
      <c r="B34">
        <v>100</v>
      </c>
      <c r="C34" t="str">
        <f t="shared" si="1"/>
        <v>Fail</v>
      </c>
      <c r="D34" t="str">
        <f t="shared" si="2"/>
        <v>Not Eligible</v>
      </c>
      <c r="E34" t="str">
        <f t="shared" si="3"/>
        <v>Good</v>
      </c>
    </row>
    <row r="35" spans="1:5">
      <c r="A35">
        <v>22</v>
      </c>
      <c r="B35">
        <v>95</v>
      </c>
      <c r="C35" t="str">
        <f t="shared" si="1"/>
        <v>Fail</v>
      </c>
      <c r="D35" t="str">
        <f t="shared" si="2"/>
        <v>Not Eligible</v>
      </c>
      <c r="E35" t="str">
        <f t="shared" si="3"/>
        <v>Good</v>
      </c>
    </row>
    <row r="36" spans="1:5">
      <c r="A36">
        <v>61</v>
      </c>
      <c r="B36">
        <v>96</v>
      </c>
      <c r="C36" t="str">
        <f t="shared" si="1"/>
        <v>Pass</v>
      </c>
      <c r="D36" t="str">
        <f t="shared" si="2"/>
        <v>Not Eligible</v>
      </c>
      <c r="E36" t="str">
        <f t="shared" si="3"/>
        <v>Good</v>
      </c>
    </row>
    <row r="37" spans="1:5">
      <c r="A37">
        <v>87</v>
      </c>
      <c r="B37">
        <v>0</v>
      </c>
      <c r="C37" t="str">
        <f t="shared" si="1"/>
        <v>Fail</v>
      </c>
      <c r="D37" t="str">
        <f t="shared" si="2"/>
        <v>Not Eligible</v>
      </c>
      <c r="E37" t="str">
        <f t="shared" si="3"/>
        <v>Good</v>
      </c>
    </row>
    <row r="38" spans="1:5">
      <c r="A38">
        <v>36</v>
      </c>
      <c r="B38">
        <v>18</v>
      </c>
      <c r="C38" t="str">
        <f t="shared" si="1"/>
        <v>Fail</v>
      </c>
      <c r="D38" t="str">
        <f t="shared" si="2"/>
        <v>Not Eligible</v>
      </c>
      <c r="E38" t="str">
        <f t="shared" si="3"/>
        <v>Improve</v>
      </c>
    </row>
    <row r="39" spans="1:5">
      <c r="A39">
        <v>98</v>
      </c>
      <c r="B39">
        <v>1</v>
      </c>
      <c r="C39" t="str">
        <f t="shared" si="1"/>
        <v>Fail</v>
      </c>
      <c r="D39" t="str">
        <f t="shared" si="2"/>
        <v>Not Eligible</v>
      </c>
      <c r="E39" t="str">
        <f t="shared" si="3"/>
        <v>Good</v>
      </c>
    </row>
    <row r="40" spans="1:5">
      <c r="A40">
        <v>43</v>
      </c>
      <c r="B40">
        <v>52</v>
      </c>
      <c r="C40" t="str">
        <f t="shared" si="1"/>
        <v>Fail</v>
      </c>
      <c r="D40" t="str">
        <f t="shared" si="2"/>
        <v>Not Eligible</v>
      </c>
      <c r="E40" t="str">
        <f t="shared" si="3"/>
        <v>Improve</v>
      </c>
    </row>
    <row r="41" spans="1:5">
      <c r="A41">
        <v>85</v>
      </c>
      <c r="B41">
        <v>43</v>
      </c>
      <c r="C41" t="str">
        <f t="shared" si="1"/>
        <v>Fail</v>
      </c>
      <c r="D41" t="str">
        <f t="shared" si="2"/>
        <v>Not Eligible</v>
      </c>
      <c r="E41" t="str">
        <f t="shared" si="3"/>
        <v>Good</v>
      </c>
    </row>
    <row r="42" spans="1:5">
      <c r="A42">
        <v>90</v>
      </c>
      <c r="B42">
        <v>89</v>
      </c>
      <c r="C42" t="str">
        <f t="shared" si="1"/>
        <v>Pass</v>
      </c>
      <c r="D42" t="str">
        <f t="shared" si="2"/>
        <v>Scholorship Eligible</v>
      </c>
      <c r="E42" t="str">
        <f t="shared" si="3"/>
        <v>Good</v>
      </c>
    </row>
    <row r="43" spans="1:5">
      <c r="A43">
        <v>34</v>
      </c>
      <c r="B43">
        <v>31</v>
      </c>
      <c r="C43" t="str">
        <f t="shared" si="1"/>
        <v>Fail</v>
      </c>
      <c r="D43" t="str">
        <f t="shared" si="2"/>
        <v>Not Eligible</v>
      </c>
      <c r="E43" t="str">
        <f t="shared" si="3"/>
        <v>Improve</v>
      </c>
    </row>
    <row r="44" spans="1:5">
      <c r="A44">
        <v>64</v>
      </c>
      <c r="B44">
        <v>69</v>
      </c>
      <c r="C44" t="str">
        <f t="shared" si="1"/>
        <v>Pass</v>
      </c>
      <c r="D44" t="str">
        <f t="shared" si="2"/>
        <v>Not Eligible</v>
      </c>
      <c r="E44" t="str">
        <f t="shared" si="3"/>
        <v>Good</v>
      </c>
    </row>
    <row r="45" spans="1:5">
      <c r="A45">
        <v>98</v>
      </c>
      <c r="B45">
        <v>31</v>
      </c>
      <c r="C45" t="str">
        <f t="shared" si="1"/>
        <v>Fail</v>
      </c>
      <c r="D45" t="str">
        <f t="shared" si="2"/>
        <v>Not Eligible</v>
      </c>
      <c r="E45" t="str">
        <f t="shared" si="3"/>
        <v>Good</v>
      </c>
    </row>
    <row r="46" spans="1:5">
      <c r="A46">
        <v>100</v>
      </c>
      <c r="B46">
        <v>67</v>
      </c>
      <c r="C46" t="str">
        <f t="shared" si="1"/>
        <v>Pass</v>
      </c>
      <c r="D46" t="str">
        <f t="shared" si="2"/>
        <v>Not Eligible</v>
      </c>
      <c r="E46" t="str">
        <f t="shared" si="3"/>
        <v>Good</v>
      </c>
    </row>
    <row r="47" spans="1:5">
      <c r="A47">
        <v>46</v>
      </c>
      <c r="B47">
        <v>54</v>
      </c>
      <c r="C47" t="str">
        <f t="shared" si="1"/>
        <v>Fail</v>
      </c>
      <c r="D47" t="str">
        <f t="shared" si="2"/>
        <v>Not Eligible</v>
      </c>
      <c r="E47" t="str">
        <f t="shared" si="3"/>
        <v>Improve</v>
      </c>
    </row>
    <row r="48" spans="1:5">
      <c r="A48">
        <v>77</v>
      </c>
      <c r="B48">
        <v>74</v>
      </c>
      <c r="C48" t="str">
        <f t="shared" si="1"/>
        <v>Pass</v>
      </c>
      <c r="D48" t="str">
        <f t="shared" si="2"/>
        <v>Not Eligible</v>
      </c>
      <c r="E48" t="str">
        <f t="shared" si="3"/>
        <v>Good</v>
      </c>
    </row>
    <row r="49" spans="1:5">
      <c r="A49">
        <v>2</v>
      </c>
      <c r="B49">
        <v>55</v>
      </c>
      <c r="C49" t="str">
        <f t="shared" si="1"/>
        <v>Fail</v>
      </c>
      <c r="D49" t="str">
        <f t="shared" si="2"/>
        <v>Not Eligible</v>
      </c>
      <c r="E49" t="str">
        <f t="shared" si="3"/>
        <v>Improve</v>
      </c>
    </row>
    <row r="50" spans="1:5">
      <c r="A50">
        <v>0</v>
      </c>
      <c r="B50">
        <v>16</v>
      </c>
      <c r="C50" t="str">
        <f t="shared" si="1"/>
        <v>Fail</v>
      </c>
      <c r="D50" t="str">
        <f t="shared" si="2"/>
        <v>Not Eligible</v>
      </c>
      <c r="E50" t="str">
        <f t="shared" si="3"/>
        <v>Improve</v>
      </c>
    </row>
    <row r="51" spans="1:5">
      <c r="A51">
        <v>4</v>
      </c>
      <c r="B51">
        <v>37</v>
      </c>
      <c r="C51" t="str">
        <f t="shared" si="1"/>
        <v>Fail</v>
      </c>
      <c r="D51" t="str">
        <f t="shared" si="2"/>
        <v>Not Eligible</v>
      </c>
      <c r="E51" t="str">
        <f t="shared" si="3"/>
        <v>Improve</v>
      </c>
    </row>
    <row r="52" spans="1:5">
      <c r="A52">
        <v>89</v>
      </c>
      <c r="B52">
        <v>23</v>
      </c>
      <c r="C52" t="str">
        <f t="shared" si="1"/>
        <v>Fail</v>
      </c>
      <c r="D52" t="str">
        <f t="shared" si="2"/>
        <v>Not Eligible</v>
      </c>
      <c r="E52" t="str">
        <f t="shared" si="3"/>
        <v>Good</v>
      </c>
    </row>
    <row r="53" spans="1:5">
      <c r="A53">
        <v>13</v>
      </c>
      <c r="B53">
        <v>68</v>
      </c>
      <c r="C53" t="str">
        <f t="shared" si="1"/>
        <v>Fail</v>
      </c>
      <c r="D53" t="str">
        <f t="shared" si="2"/>
        <v>Not Eligible</v>
      </c>
      <c r="E53" t="str">
        <f t="shared" si="3"/>
        <v>Good</v>
      </c>
    </row>
    <row r="54" spans="1:5">
      <c r="A54">
        <v>26</v>
      </c>
      <c r="B54">
        <v>97</v>
      </c>
      <c r="C54" t="str">
        <f t="shared" si="1"/>
        <v>Fail</v>
      </c>
      <c r="D54" t="str">
        <f t="shared" si="2"/>
        <v>Not Eligible</v>
      </c>
      <c r="E54" t="str">
        <f t="shared" si="3"/>
        <v>Good</v>
      </c>
    </row>
    <row r="55" spans="1:5">
      <c r="A55">
        <v>8</v>
      </c>
      <c r="B55">
        <v>69</v>
      </c>
      <c r="C55" t="str">
        <f t="shared" si="1"/>
        <v>Fail</v>
      </c>
      <c r="D55" t="str">
        <f t="shared" si="2"/>
        <v>Not Eligible</v>
      </c>
      <c r="E55" t="str">
        <f t="shared" si="3"/>
        <v>Good</v>
      </c>
    </row>
    <row r="56" spans="1:5">
      <c r="A56">
        <v>78</v>
      </c>
      <c r="B56">
        <v>85</v>
      </c>
      <c r="C56" t="str">
        <f t="shared" si="1"/>
        <v>Pass</v>
      </c>
      <c r="D56" t="str">
        <f t="shared" si="2"/>
        <v>Not Eligible</v>
      </c>
      <c r="E56" t="str">
        <f t="shared" si="3"/>
        <v>Good</v>
      </c>
    </row>
    <row r="57" spans="1:5">
      <c r="A57">
        <v>14</v>
      </c>
      <c r="B57">
        <v>10</v>
      </c>
      <c r="C57" t="str">
        <f t="shared" si="1"/>
        <v>Fail</v>
      </c>
      <c r="D57" t="str">
        <f t="shared" si="2"/>
        <v>Not Eligible</v>
      </c>
      <c r="E57" t="str">
        <f t="shared" si="3"/>
        <v>Improve</v>
      </c>
    </row>
    <row r="58" spans="1:5">
      <c r="A58">
        <v>89</v>
      </c>
      <c r="B58">
        <v>15</v>
      </c>
      <c r="C58" t="str">
        <f t="shared" si="1"/>
        <v>Fail</v>
      </c>
      <c r="D58" t="str">
        <f t="shared" si="2"/>
        <v>Not Eligible</v>
      </c>
      <c r="E58" t="str">
        <f t="shared" si="3"/>
        <v>Good</v>
      </c>
    </row>
    <row r="59" spans="1:5">
      <c r="A59">
        <v>41</v>
      </c>
      <c r="B59">
        <v>96</v>
      </c>
      <c r="C59" t="str">
        <f t="shared" si="1"/>
        <v>Fail</v>
      </c>
      <c r="D59" t="str">
        <f t="shared" si="2"/>
        <v>Not Eligible</v>
      </c>
      <c r="E59" t="str">
        <f t="shared" si="3"/>
        <v>Good</v>
      </c>
    </row>
    <row r="60" spans="1:5">
      <c r="A60">
        <v>76</v>
      </c>
      <c r="B60">
        <v>72</v>
      </c>
      <c r="C60" t="str">
        <f t="shared" si="1"/>
        <v>Pass</v>
      </c>
      <c r="D60" t="str">
        <f t="shared" si="2"/>
        <v>Not Eligible</v>
      </c>
      <c r="E60" t="str">
        <f t="shared" si="3"/>
        <v>Good</v>
      </c>
    </row>
    <row r="61" spans="1:5">
      <c r="A61">
        <v>50</v>
      </c>
      <c r="B61">
        <v>58</v>
      </c>
      <c r="C61" t="str">
        <f t="shared" si="1"/>
        <v>Pass</v>
      </c>
      <c r="D61" t="str">
        <f t="shared" si="2"/>
        <v>Not Eligible</v>
      </c>
      <c r="E61" t="str">
        <f t="shared" si="3"/>
        <v>Improve</v>
      </c>
    </row>
    <row r="62" spans="1:5">
      <c r="A62">
        <v>62</v>
      </c>
      <c r="B62">
        <v>69</v>
      </c>
      <c r="C62" t="str">
        <f t="shared" si="1"/>
        <v>Pass</v>
      </c>
      <c r="D62" t="str">
        <f t="shared" si="2"/>
        <v>Not Eligible</v>
      </c>
      <c r="E62" t="str">
        <f t="shared" si="3"/>
        <v>Good</v>
      </c>
    </row>
    <row r="63" spans="1:5">
      <c r="A63">
        <v>95</v>
      </c>
      <c r="B63">
        <v>79</v>
      </c>
      <c r="C63" t="str">
        <f t="shared" si="1"/>
        <v>Pass</v>
      </c>
      <c r="D63" t="str">
        <f t="shared" si="2"/>
        <v>Not Eligible</v>
      </c>
      <c r="E63" t="str">
        <f t="shared" si="3"/>
        <v>Good</v>
      </c>
    </row>
    <row r="64" spans="1:5">
      <c r="A64">
        <v>51</v>
      </c>
      <c r="B64">
        <v>92</v>
      </c>
      <c r="C64" t="str">
        <f t="shared" si="1"/>
        <v>Pass</v>
      </c>
      <c r="D64" t="str">
        <f t="shared" si="2"/>
        <v>Not Eligible</v>
      </c>
      <c r="E64" t="str">
        <f t="shared" si="3"/>
        <v>Good</v>
      </c>
    </row>
    <row r="65" spans="1:5">
      <c r="A65">
        <v>95</v>
      </c>
      <c r="B65">
        <v>2</v>
      </c>
      <c r="C65" t="str">
        <f t="shared" si="1"/>
        <v>Fail</v>
      </c>
      <c r="D65" t="str">
        <f t="shared" si="2"/>
        <v>Not Eligible</v>
      </c>
      <c r="E65" t="str">
        <f t="shared" si="3"/>
        <v>Good</v>
      </c>
    </row>
    <row r="66" spans="1:5">
      <c r="A66">
        <v>3</v>
      </c>
      <c r="B66">
        <v>19</v>
      </c>
      <c r="C66" t="str">
        <f t="shared" si="1"/>
        <v>Fail</v>
      </c>
      <c r="D66" t="str">
        <f t="shared" si="2"/>
        <v>Not Eligible</v>
      </c>
      <c r="E66" t="str">
        <f t="shared" si="3"/>
        <v>Improve</v>
      </c>
    </row>
    <row r="67" spans="1:5">
      <c r="A67">
        <v>93</v>
      </c>
      <c r="B67">
        <v>58</v>
      </c>
      <c r="C67" t="str">
        <f t="shared" ref="C67:C101" si="5">IF(AND(A67&gt;=50,B67&gt;=50),"Pass","Fail")</f>
        <v>Pass</v>
      </c>
      <c r="D67" t="str">
        <f t="shared" ref="D67:D101" si="6">IF(AND(A67&gt;=80,B67&gt;=80),"Scholorship Eligible","Not Eligible")</f>
        <v>Not Eligible</v>
      </c>
      <c r="E67" t="str">
        <f t="shared" ref="E67:E101" si="7">IF(OR(A67&gt;=60,B67&gt;=60),"Good","Improve")</f>
        <v>Good</v>
      </c>
    </row>
    <row r="68" spans="1:5">
      <c r="A68">
        <v>100</v>
      </c>
      <c r="B68">
        <v>35</v>
      </c>
      <c r="C68" t="str">
        <f t="shared" si="5"/>
        <v>Fail</v>
      </c>
      <c r="D68" t="str">
        <f t="shared" si="6"/>
        <v>Not Eligible</v>
      </c>
      <c r="E68" t="str">
        <f t="shared" si="7"/>
        <v>Good</v>
      </c>
    </row>
    <row r="69" spans="1:5">
      <c r="A69">
        <v>22</v>
      </c>
      <c r="B69">
        <v>18</v>
      </c>
      <c r="C69" t="str">
        <f t="shared" si="5"/>
        <v>Fail</v>
      </c>
      <c r="D69" t="str">
        <f t="shared" si="6"/>
        <v>Not Eligible</v>
      </c>
      <c r="E69" t="str">
        <f t="shared" si="7"/>
        <v>Improve</v>
      </c>
    </row>
    <row r="70" spans="1:5">
      <c r="A70">
        <v>14</v>
      </c>
      <c r="B70">
        <v>89</v>
      </c>
      <c r="C70" t="str">
        <f t="shared" si="5"/>
        <v>Fail</v>
      </c>
      <c r="D70" t="str">
        <f t="shared" si="6"/>
        <v>Not Eligible</v>
      </c>
      <c r="E70" t="str">
        <f t="shared" si="7"/>
        <v>Good</v>
      </c>
    </row>
    <row r="71" spans="1:5">
      <c r="A71">
        <v>42</v>
      </c>
      <c r="B71">
        <v>66</v>
      </c>
      <c r="C71" t="str">
        <f t="shared" si="5"/>
        <v>Fail</v>
      </c>
      <c r="D71" t="str">
        <f t="shared" si="6"/>
        <v>Not Eligible</v>
      </c>
      <c r="E71" t="str">
        <f t="shared" si="7"/>
        <v>Good</v>
      </c>
    </row>
    <row r="72" spans="1:5">
      <c r="A72">
        <v>28</v>
      </c>
      <c r="B72">
        <v>18</v>
      </c>
      <c r="C72" t="str">
        <f t="shared" si="5"/>
        <v>Fail</v>
      </c>
      <c r="D72" t="str">
        <f t="shared" si="6"/>
        <v>Not Eligible</v>
      </c>
      <c r="E72" t="str">
        <f t="shared" si="7"/>
        <v>Improve</v>
      </c>
    </row>
    <row r="73" spans="1:5">
      <c r="A73">
        <v>35</v>
      </c>
      <c r="B73">
        <v>19</v>
      </c>
      <c r="C73" t="str">
        <f t="shared" si="5"/>
        <v>Fail</v>
      </c>
      <c r="D73" t="str">
        <f t="shared" si="6"/>
        <v>Not Eligible</v>
      </c>
      <c r="E73" t="str">
        <f t="shared" si="7"/>
        <v>Improve</v>
      </c>
    </row>
    <row r="74" spans="1:5">
      <c r="A74">
        <v>12</v>
      </c>
      <c r="B74">
        <v>95</v>
      </c>
      <c r="C74" t="str">
        <f t="shared" si="5"/>
        <v>Fail</v>
      </c>
      <c r="D74" t="str">
        <f t="shared" si="6"/>
        <v>Not Eligible</v>
      </c>
      <c r="E74" t="str">
        <f t="shared" si="7"/>
        <v>Good</v>
      </c>
    </row>
    <row r="75" spans="1:5">
      <c r="A75">
        <v>31</v>
      </c>
      <c r="B75">
        <v>70</v>
      </c>
      <c r="C75" t="str">
        <f t="shared" si="5"/>
        <v>Fail</v>
      </c>
      <c r="D75" t="str">
        <f t="shared" si="6"/>
        <v>Not Eligible</v>
      </c>
      <c r="E75" t="str">
        <f t="shared" si="7"/>
        <v>Good</v>
      </c>
    </row>
    <row r="76" spans="1:5">
      <c r="A76">
        <v>70</v>
      </c>
      <c r="B76">
        <v>51</v>
      </c>
      <c r="C76" t="str">
        <f t="shared" si="5"/>
        <v>Pass</v>
      </c>
      <c r="D76" t="str">
        <f t="shared" si="6"/>
        <v>Not Eligible</v>
      </c>
      <c r="E76" t="str">
        <f t="shared" si="7"/>
        <v>Good</v>
      </c>
    </row>
    <row r="77" spans="1:5">
      <c r="A77">
        <v>58</v>
      </c>
      <c r="B77">
        <v>32</v>
      </c>
      <c r="C77" t="str">
        <f t="shared" si="5"/>
        <v>Fail</v>
      </c>
      <c r="D77" t="str">
        <f t="shared" si="6"/>
        <v>Not Eligible</v>
      </c>
      <c r="E77" t="str">
        <f t="shared" si="7"/>
        <v>Improve</v>
      </c>
    </row>
    <row r="78" spans="1:5">
      <c r="A78">
        <v>85</v>
      </c>
      <c r="B78">
        <v>39</v>
      </c>
      <c r="C78" t="str">
        <f t="shared" si="5"/>
        <v>Fail</v>
      </c>
      <c r="D78" t="str">
        <f t="shared" si="6"/>
        <v>Not Eligible</v>
      </c>
      <c r="E78" t="str">
        <f t="shared" si="7"/>
        <v>Good</v>
      </c>
    </row>
    <row r="79" spans="1:5">
      <c r="A79">
        <v>27</v>
      </c>
      <c r="B79">
        <v>38</v>
      </c>
      <c r="C79" t="str">
        <f t="shared" si="5"/>
        <v>Fail</v>
      </c>
      <c r="D79" t="str">
        <f t="shared" si="6"/>
        <v>Not Eligible</v>
      </c>
      <c r="E79" t="str">
        <f t="shared" si="7"/>
        <v>Improve</v>
      </c>
    </row>
    <row r="80" spans="1:5">
      <c r="A80">
        <v>65</v>
      </c>
      <c r="B80">
        <v>81</v>
      </c>
      <c r="C80" t="str">
        <f t="shared" si="5"/>
        <v>Pass</v>
      </c>
      <c r="D80" t="str">
        <f t="shared" si="6"/>
        <v>Not Eligible</v>
      </c>
      <c r="E80" t="str">
        <f t="shared" si="7"/>
        <v>Good</v>
      </c>
    </row>
    <row r="81" spans="1:5">
      <c r="A81">
        <v>41</v>
      </c>
      <c r="B81">
        <v>0</v>
      </c>
      <c r="C81" t="str">
        <f t="shared" si="5"/>
        <v>Fail</v>
      </c>
      <c r="D81" t="str">
        <f t="shared" si="6"/>
        <v>Not Eligible</v>
      </c>
      <c r="E81" t="str">
        <f t="shared" si="7"/>
        <v>Improve</v>
      </c>
    </row>
    <row r="82" spans="1:5">
      <c r="A82">
        <v>44</v>
      </c>
      <c r="B82">
        <v>10</v>
      </c>
      <c r="C82" t="str">
        <f t="shared" si="5"/>
        <v>Fail</v>
      </c>
      <c r="D82" t="str">
        <f t="shared" si="6"/>
        <v>Not Eligible</v>
      </c>
      <c r="E82" t="str">
        <f t="shared" si="7"/>
        <v>Improve</v>
      </c>
    </row>
    <row r="83" spans="1:5">
      <c r="A83">
        <v>61</v>
      </c>
      <c r="B83">
        <v>91</v>
      </c>
      <c r="C83" t="str">
        <f t="shared" si="5"/>
        <v>Pass</v>
      </c>
      <c r="D83" t="str">
        <f t="shared" si="6"/>
        <v>Not Eligible</v>
      </c>
      <c r="E83" t="str">
        <f t="shared" si="7"/>
        <v>Good</v>
      </c>
    </row>
    <row r="84" spans="1:5">
      <c r="A84">
        <v>56</v>
      </c>
      <c r="B84">
        <v>56</v>
      </c>
      <c r="C84" t="str">
        <f t="shared" si="5"/>
        <v>Pass</v>
      </c>
      <c r="D84" t="str">
        <f t="shared" si="6"/>
        <v>Not Eligible</v>
      </c>
      <c r="E84" t="str">
        <f t="shared" si="7"/>
        <v>Improve</v>
      </c>
    </row>
    <row r="85" spans="1:5">
      <c r="A85">
        <v>5</v>
      </c>
      <c r="B85">
        <v>88</v>
      </c>
      <c r="C85" t="str">
        <f t="shared" si="5"/>
        <v>Fail</v>
      </c>
      <c r="D85" t="str">
        <f t="shared" si="6"/>
        <v>Not Eligible</v>
      </c>
      <c r="E85" t="str">
        <f t="shared" si="7"/>
        <v>Good</v>
      </c>
    </row>
    <row r="86" spans="1:5">
      <c r="A86">
        <v>27</v>
      </c>
      <c r="B86">
        <v>49</v>
      </c>
      <c r="C86" t="str">
        <f t="shared" si="5"/>
        <v>Fail</v>
      </c>
      <c r="D86" t="str">
        <f t="shared" si="6"/>
        <v>Not Eligible</v>
      </c>
      <c r="E86" t="str">
        <f t="shared" si="7"/>
        <v>Improve</v>
      </c>
    </row>
    <row r="87" spans="1:5">
      <c r="A87">
        <v>27</v>
      </c>
      <c r="B87">
        <v>22</v>
      </c>
      <c r="C87" t="str">
        <f t="shared" si="5"/>
        <v>Fail</v>
      </c>
      <c r="D87" t="str">
        <f t="shared" si="6"/>
        <v>Not Eligible</v>
      </c>
      <c r="E87" t="str">
        <f t="shared" si="7"/>
        <v>Improve</v>
      </c>
    </row>
    <row r="88" spans="1:5">
      <c r="A88">
        <v>43</v>
      </c>
      <c r="B88">
        <v>30</v>
      </c>
      <c r="C88" t="str">
        <f t="shared" si="5"/>
        <v>Fail</v>
      </c>
      <c r="D88" t="str">
        <f t="shared" si="6"/>
        <v>Not Eligible</v>
      </c>
      <c r="E88" t="str">
        <f t="shared" si="7"/>
        <v>Improve</v>
      </c>
    </row>
    <row r="89" spans="1:5">
      <c r="A89">
        <v>83</v>
      </c>
      <c r="B89">
        <v>93</v>
      </c>
      <c r="C89" t="str">
        <f t="shared" si="5"/>
        <v>Pass</v>
      </c>
      <c r="D89" t="str">
        <f t="shared" si="6"/>
        <v>Scholorship Eligible</v>
      </c>
      <c r="E89" t="str">
        <f t="shared" si="7"/>
        <v>Good</v>
      </c>
    </row>
    <row r="90" spans="1:5">
      <c r="A90">
        <v>29</v>
      </c>
      <c r="B90">
        <v>41</v>
      </c>
      <c r="C90" t="str">
        <f t="shared" si="5"/>
        <v>Fail</v>
      </c>
      <c r="D90" t="str">
        <f t="shared" si="6"/>
        <v>Not Eligible</v>
      </c>
      <c r="E90" t="str">
        <f t="shared" si="7"/>
        <v>Improve</v>
      </c>
    </row>
    <row r="91" spans="1:5">
      <c r="A91">
        <v>61</v>
      </c>
      <c r="B91">
        <v>98</v>
      </c>
      <c r="C91" t="str">
        <f t="shared" si="5"/>
        <v>Pass</v>
      </c>
      <c r="D91" t="str">
        <f t="shared" si="6"/>
        <v>Not Eligible</v>
      </c>
      <c r="E91" t="str">
        <f t="shared" si="7"/>
        <v>Good</v>
      </c>
    </row>
    <row r="92" spans="1:5">
      <c r="A92">
        <v>74</v>
      </c>
      <c r="B92">
        <v>6</v>
      </c>
      <c r="C92" t="str">
        <f t="shared" si="5"/>
        <v>Fail</v>
      </c>
      <c r="D92" t="str">
        <f t="shared" si="6"/>
        <v>Not Eligible</v>
      </c>
      <c r="E92" t="str">
        <f t="shared" si="7"/>
        <v>Good</v>
      </c>
    </row>
    <row r="93" spans="1:5">
      <c r="A93">
        <v>91</v>
      </c>
      <c r="B93">
        <v>15</v>
      </c>
      <c r="C93" t="str">
        <f t="shared" si="5"/>
        <v>Fail</v>
      </c>
      <c r="D93" t="str">
        <f t="shared" si="6"/>
        <v>Not Eligible</v>
      </c>
      <c r="E93" t="str">
        <f t="shared" si="7"/>
        <v>Good</v>
      </c>
    </row>
    <row r="94" spans="1:5">
      <c r="A94">
        <v>88</v>
      </c>
      <c r="B94">
        <v>89</v>
      </c>
      <c r="C94" t="str">
        <f t="shared" si="5"/>
        <v>Pass</v>
      </c>
      <c r="D94" t="str">
        <f t="shared" si="6"/>
        <v>Scholorship Eligible</v>
      </c>
      <c r="E94" t="str">
        <f t="shared" si="7"/>
        <v>Good</v>
      </c>
    </row>
    <row r="95" spans="1:5">
      <c r="A95">
        <v>61</v>
      </c>
      <c r="B95">
        <v>59</v>
      </c>
      <c r="C95" t="str">
        <f t="shared" si="5"/>
        <v>Pass</v>
      </c>
      <c r="D95" t="str">
        <f t="shared" si="6"/>
        <v>Not Eligible</v>
      </c>
      <c r="E95" t="str">
        <f t="shared" si="7"/>
        <v>Good</v>
      </c>
    </row>
    <row r="96" spans="1:5">
      <c r="A96">
        <v>96</v>
      </c>
      <c r="B96">
        <v>1</v>
      </c>
      <c r="C96" t="str">
        <f t="shared" si="5"/>
        <v>Fail</v>
      </c>
      <c r="D96" t="str">
        <f t="shared" si="6"/>
        <v>Not Eligible</v>
      </c>
      <c r="E96" t="str">
        <f t="shared" si="7"/>
        <v>Good</v>
      </c>
    </row>
    <row r="97" spans="1:5">
      <c r="A97">
        <v>0</v>
      </c>
      <c r="B97">
        <v>0</v>
      </c>
      <c r="C97" t="str">
        <f t="shared" si="5"/>
        <v>Fail</v>
      </c>
      <c r="D97" t="str">
        <f t="shared" si="6"/>
        <v>Not Eligible</v>
      </c>
      <c r="E97" t="str">
        <f t="shared" si="7"/>
        <v>Improve</v>
      </c>
    </row>
    <row r="98" spans="1:5">
      <c r="A98">
        <v>26</v>
      </c>
      <c r="B98">
        <v>47</v>
      </c>
      <c r="C98" t="str">
        <f t="shared" si="5"/>
        <v>Fail</v>
      </c>
      <c r="D98" t="str">
        <f t="shared" si="6"/>
        <v>Not Eligible</v>
      </c>
      <c r="E98" t="str">
        <f t="shared" si="7"/>
        <v>Improve</v>
      </c>
    </row>
    <row r="99" spans="1:5">
      <c r="A99">
        <v>61</v>
      </c>
      <c r="B99">
        <v>11</v>
      </c>
      <c r="C99" t="str">
        <f t="shared" si="5"/>
        <v>Fail</v>
      </c>
      <c r="D99" t="str">
        <f t="shared" si="6"/>
        <v>Not Eligible</v>
      </c>
      <c r="E99" t="str">
        <f t="shared" si="7"/>
        <v>Good</v>
      </c>
    </row>
    <row r="100" spans="1:5">
      <c r="A100">
        <v>76</v>
      </c>
      <c r="B100">
        <v>68</v>
      </c>
      <c r="C100" t="str">
        <f t="shared" si="5"/>
        <v>Pass</v>
      </c>
      <c r="D100" t="str">
        <f t="shared" si="6"/>
        <v>Not Eligible</v>
      </c>
      <c r="E100" t="str">
        <f t="shared" si="7"/>
        <v>Good</v>
      </c>
    </row>
    <row r="101" spans="1:5">
      <c r="A101">
        <v>2</v>
      </c>
      <c r="B101">
        <v>36</v>
      </c>
      <c r="C101" t="str">
        <f t="shared" si="5"/>
        <v>Fail</v>
      </c>
      <c r="D101" t="str">
        <f t="shared" si="6"/>
        <v>Not Eligible</v>
      </c>
      <c r="E101" t="str">
        <f t="shared" si="7"/>
        <v>Improve</v>
      </c>
    </row>
  </sheetData>
  <mergeCells count="2">
    <mergeCell ref="Q2:R2"/>
    <mergeCell ref="Q6:R6"/>
  </mergeCells>
  <conditionalFormatting sqref="I2:M11">
    <cfRule type="expression" dxfId="1" priority="1">
      <formula>#REF!=#REF!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zoomScale="128" workbookViewId="0">
      <selection activeCell="C2" sqref="C2:C101"/>
    </sheetView>
  </sheetViews>
  <sheetFormatPr defaultRowHeight="14.5"/>
  <cols>
    <col min="2" max="2" width="12.90625" bestFit="1" customWidth="1"/>
    <col min="3" max="3" width="14" bestFit="1" customWidth="1"/>
    <col min="6" max="6" width="33.54296875" bestFit="1" customWidth="1"/>
  </cols>
  <sheetData>
    <row r="1" spans="1:6">
      <c r="A1" s="1" t="s">
        <v>4</v>
      </c>
      <c r="B1" s="24" t="s">
        <v>2442</v>
      </c>
      <c r="C1" s="24"/>
    </row>
    <row r="2" spans="1:6">
      <c r="A2">
        <v>4863</v>
      </c>
      <c r="B2" t="str" cm="1">
        <f t="array" ref="B2">_xlfn.IFS(A2&gt;=9000,"Excellent",A2&gt;=7000,"Very Good",A2&gt;=5000,"Good",TRUE,"Poor")</f>
        <v>Poor</v>
      </c>
      <c r="C2" t="str" cm="1">
        <f t="array" ref="C2">_xlfn.IFS(A2&gt;=8000,"Achiever",A2&gt;=5000,"Performer",TRUE,"Underpeformer")</f>
        <v>Underpeformer</v>
      </c>
    </row>
    <row r="3" spans="1:6" ht="23.5">
      <c r="A3">
        <v>8455</v>
      </c>
      <c r="B3" t="str" cm="1">
        <f t="array" ref="B3">_xlfn.IFS(A3&gt;=9000,"Excellent",A3&gt;=7000,"Very Good",A3&gt;=5000,"Good",TRUE,"Poor")</f>
        <v>Very Good</v>
      </c>
      <c r="C3" t="str" cm="1">
        <f t="array" ref="C3">_xlfn.IFS(A3&gt;=8000,"Achiever",A3&gt;=5000,"Performer",TRUE,"Underpeformer")</f>
        <v>Achiever</v>
      </c>
      <c r="F3" s="12" t="s">
        <v>65</v>
      </c>
    </row>
    <row r="4" spans="1:6">
      <c r="A4">
        <v>5014</v>
      </c>
      <c r="B4" t="str" cm="1">
        <f t="array" ref="B4">_xlfn.IFS(A4&gt;=9000,"Excellent",A4&gt;=7000,"Very Good",A4&gt;=5000,"Good",TRUE,"Poor")</f>
        <v>Good</v>
      </c>
      <c r="C4" t="str" cm="1">
        <f t="array" ref="C4">_xlfn.IFS(A4&gt;=8000,"Achiever",A4&gt;=5000,"Performer",TRUE,"Underpeformer")</f>
        <v>Performer</v>
      </c>
    </row>
    <row r="5" spans="1:6">
      <c r="A5">
        <v>2686</v>
      </c>
      <c r="B5" t="str" cm="1">
        <f t="array" ref="B5">_xlfn.IFS(A5&gt;=9000,"Excellent",A5&gt;=7000,"Very Good",A5&gt;=5000,"Good",TRUE,"Poor")</f>
        <v>Poor</v>
      </c>
      <c r="C5" t="str" cm="1">
        <f t="array" ref="C5">_xlfn.IFS(A5&gt;=8000,"Achiever",A5&gt;=5000,"Performer",TRUE,"Underpeformer")</f>
        <v>Underpeformer</v>
      </c>
      <c r="F5" t="s">
        <v>53</v>
      </c>
    </row>
    <row r="6" spans="1:6">
      <c r="A6">
        <v>4009</v>
      </c>
      <c r="B6" t="str" cm="1">
        <f t="array" ref="B6">_xlfn.IFS(A6&gt;=9000,"Excellent",A6&gt;=7000,"Very Good",A6&gt;=5000,"Good",TRUE,"Poor")</f>
        <v>Poor</v>
      </c>
      <c r="C6" t="str" cm="1">
        <f t="array" ref="C6">_xlfn.IFS(A6&gt;=8000,"Achiever",A6&gt;=5000,"Performer",TRUE,"Underpeformer")</f>
        <v>Underpeformer</v>
      </c>
      <c r="F6" s="13"/>
    </row>
    <row r="7" spans="1:6">
      <c r="A7">
        <v>8806</v>
      </c>
      <c r="B7" t="str" cm="1">
        <f t="array" ref="B7">_xlfn.IFS(A7&gt;=9000,"Excellent",A7&gt;=7000,"Very Good",A7&gt;=5000,"Good",TRUE,"Poor")</f>
        <v>Very Good</v>
      </c>
      <c r="C7" t="str" cm="1">
        <f t="array" ref="C7">_xlfn.IFS(A7&gt;=8000,"Achiever",A7&gt;=5000,"Performer",TRUE,"Underpeformer")</f>
        <v>Achiever</v>
      </c>
      <c r="F7" s="13" t="s">
        <v>66</v>
      </c>
    </row>
    <row r="8" spans="1:6">
      <c r="A8">
        <v>1154</v>
      </c>
      <c r="B8" t="str" cm="1">
        <f t="array" ref="B8">_xlfn.IFS(A8&gt;=9000,"Excellent",A8&gt;=7000,"Very Good",A8&gt;=5000,"Good",TRUE,"Poor")</f>
        <v>Poor</v>
      </c>
      <c r="C8" t="str" cm="1">
        <f t="array" ref="C8">_xlfn.IFS(A8&gt;=8000,"Achiever",A8&gt;=5000,"Performer",TRUE,"Underpeformer")</f>
        <v>Underpeformer</v>
      </c>
      <c r="F8" s="13"/>
    </row>
    <row r="9" spans="1:6">
      <c r="A9">
        <v>2409</v>
      </c>
      <c r="B9" t="str" cm="1">
        <f t="array" ref="B9">_xlfn.IFS(A9&gt;=9000,"Excellent",A9&gt;=7000,"Very Good",A9&gt;=5000,"Good",TRUE,"Poor")</f>
        <v>Poor</v>
      </c>
      <c r="C9" t="str" cm="1">
        <f t="array" ref="C9">_xlfn.IFS(A9&gt;=8000,"Achiever",A9&gt;=5000,"Performer",TRUE,"Underpeformer")</f>
        <v>Underpeformer</v>
      </c>
      <c r="F9" s="13"/>
    </row>
    <row r="10" spans="1:6">
      <c r="A10">
        <v>1784</v>
      </c>
      <c r="B10" t="str" cm="1">
        <f t="array" ref="B10">_xlfn.IFS(A10&gt;=9000,"Excellent",A10&gt;=7000,"Very Good",A10&gt;=5000,"Good",TRUE,"Poor")</f>
        <v>Poor</v>
      </c>
      <c r="C10" t="str" cm="1">
        <f t="array" ref="C10">_xlfn.IFS(A10&gt;=8000,"Achiever",A10&gt;=5000,"Performer",TRUE,"Underpeformer")</f>
        <v>Underpeformer</v>
      </c>
      <c r="F10" s="13"/>
    </row>
    <row r="11" spans="1:6">
      <c r="A11">
        <v>9096</v>
      </c>
      <c r="B11" t="str" cm="1">
        <f t="array" ref="B11">_xlfn.IFS(A11&gt;=9000,"Excellent",A11&gt;=7000,"Very Good",A11&gt;=5000,"Good",TRUE,"Poor")</f>
        <v>Excellent</v>
      </c>
      <c r="C11" t="str" cm="1">
        <f t="array" ref="C11">_xlfn.IFS(A11&gt;=8000,"Achiever",A11&gt;=5000,"Performer",TRUE,"Underpeformer")</f>
        <v>Achiever</v>
      </c>
      <c r="F11" s="13" t="s">
        <v>67</v>
      </c>
    </row>
    <row r="12" spans="1:6">
      <c r="A12">
        <v>8560</v>
      </c>
      <c r="B12" t="str" cm="1">
        <f t="array" ref="B12">_xlfn.IFS(A12&gt;=9000,"Excellent",A12&gt;=7000,"Very Good",A12&gt;=5000,"Good",TRUE,"Poor")</f>
        <v>Very Good</v>
      </c>
      <c r="C12" t="str" cm="1">
        <f t="array" ref="C12">_xlfn.IFS(A12&gt;=8000,"Achiever",A12&gt;=5000,"Performer",TRUE,"Underpeformer")</f>
        <v>Achiever</v>
      </c>
      <c r="F12" s="13"/>
    </row>
    <row r="13" spans="1:6">
      <c r="A13">
        <v>8343</v>
      </c>
      <c r="B13" t="str" cm="1">
        <f t="array" ref="B13">_xlfn.IFS(A13&gt;=9000,"Excellent",A13&gt;=7000,"Very Good",A13&gt;=5000,"Good",TRUE,"Poor")</f>
        <v>Very Good</v>
      </c>
      <c r="C13" t="str" cm="1">
        <f t="array" ref="C13">_xlfn.IFS(A13&gt;=8000,"Achiever",A13&gt;=5000,"Performer",TRUE,"Underpeformer")</f>
        <v>Achiever</v>
      </c>
      <c r="F13" s="13" t="s">
        <v>68</v>
      </c>
    </row>
    <row r="14" spans="1:6">
      <c r="A14">
        <v>8206</v>
      </c>
      <c r="B14" t="str" cm="1">
        <f t="array" ref="B14">_xlfn.IFS(A14&gt;=9000,"Excellent",A14&gt;=7000,"Very Good",A14&gt;=5000,"Good",TRUE,"Poor")</f>
        <v>Very Good</v>
      </c>
      <c r="C14" t="str" cm="1">
        <f t="array" ref="C14">_xlfn.IFS(A14&gt;=8000,"Achiever",A14&gt;=5000,"Performer",TRUE,"Underpeformer")</f>
        <v>Achiever</v>
      </c>
      <c r="F14" s="13"/>
    </row>
    <row r="15" spans="1:6">
      <c r="A15">
        <v>6596</v>
      </c>
      <c r="B15" t="str" cm="1">
        <f t="array" ref="B15">_xlfn.IFS(A15&gt;=9000,"Excellent",A15&gt;=7000,"Very Good",A15&gt;=5000,"Good",TRUE,"Poor")</f>
        <v>Good</v>
      </c>
      <c r="C15" t="str" cm="1">
        <f t="array" ref="C15">_xlfn.IFS(A15&gt;=8000,"Achiever",A15&gt;=5000,"Performer",TRUE,"Underpeformer")</f>
        <v>Performer</v>
      </c>
      <c r="F15" s="13" t="s">
        <v>69</v>
      </c>
    </row>
    <row r="16" spans="1:6">
      <c r="A16">
        <v>6801</v>
      </c>
      <c r="B16" t="str" cm="1">
        <f t="array" ref="B16">_xlfn.IFS(A16&gt;=9000,"Excellent",A16&gt;=7000,"Very Good",A16&gt;=5000,"Good",TRUE,"Poor")</f>
        <v>Good</v>
      </c>
      <c r="C16" t="str" cm="1">
        <f t="array" ref="C16">_xlfn.IFS(A16&gt;=8000,"Achiever",A16&gt;=5000,"Performer",TRUE,"Underpeformer")</f>
        <v>Performer</v>
      </c>
      <c r="F16" s="13"/>
    </row>
    <row r="17" spans="1:6">
      <c r="A17">
        <v>3806</v>
      </c>
      <c r="B17" t="str" cm="1">
        <f t="array" ref="B17">_xlfn.IFS(A17&gt;=9000,"Excellent",A17&gt;=7000,"Very Good",A17&gt;=5000,"Good",TRUE,"Poor")</f>
        <v>Poor</v>
      </c>
      <c r="C17" t="str" cm="1">
        <f t="array" ref="C17">_xlfn.IFS(A17&gt;=8000,"Achiever",A17&gt;=5000,"Performer",TRUE,"Underpeformer")</f>
        <v>Underpeformer</v>
      </c>
      <c r="F17" s="13" t="s">
        <v>70</v>
      </c>
    </row>
    <row r="18" spans="1:6">
      <c r="A18">
        <v>1537</v>
      </c>
      <c r="B18" t="str" cm="1">
        <f t="array" ref="B18">_xlfn.IFS(A18&gt;=9000,"Excellent",A18&gt;=7000,"Very Good",A18&gt;=5000,"Good",TRUE,"Poor")</f>
        <v>Poor</v>
      </c>
      <c r="C18" t="str" cm="1">
        <f t="array" ref="C18">_xlfn.IFS(A18&gt;=8000,"Achiever",A18&gt;=5000,"Performer",TRUE,"Underpeformer")</f>
        <v>Underpeformer</v>
      </c>
      <c r="F18" s="13"/>
    </row>
    <row r="19" spans="1:6">
      <c r="A19">
        <v>6986</v>
      </c>
      <c r="B19" t="str" cm="1">
        <f t="array" ref="B19">_xlfn.IFS(A19&gt;=9000,"Excellent",A19&gt;=7000,"Very Good",A19&gt;=5000,"Good",TRUE,"Poor")</f>
        <v>Good</v>
      </c>
      <c r="C19" t="str" cm="1">
        <f t="array" ref="C19">_xlfn.IFS(A19&gt;=8000,"Achiever",A19&gt;=5000,"Performer",TRUE,"Underpeformer")</f>
        <v>Performer</v>
      </c>
      <c r="F19" s="13" t="s">
        <v>71</v>
      </c>
    </row>
    <row r="20" spans="1:6">
      <c r="A20">
        <v>2841</v>
      </c>
      <c r="B20" t="str" cm="1">
        <f t="array" ref="B20">_xlfn.IFS(A20&gt;=9000,"Excellent",A20&gt;=7000,"Very Good",A20&gt;=5000,"Good",TRUE,"Poor")</f>
        <v>Poor</v>
      </c>
      <c r="C20" t="str" cm="1">
        <f t="array" ref="C20">_xlfn.IFS(A20&gt;=8000,"Achiever",A20&gt;=5000,"Performer",TRUE,"Underpeformer")</f>
        <v>Underpeformer</v>
      </c>
      <c r="F20" s="13"/>
    </row>
    <row r="21" spans="1:6">
      <c r="A21">
        <v>9716</v>
      </c>
      <c r="B21" t="str" cm="1">
        <f t="array" ref="B21">_xlfn.IFS(A21&gt;=9000,"Excellent",A21&gt;=7000,"Very Good",A21&gt;=5000,"Good",TRUE,"Poor")</f>
        <v>Excellent</v>
      </c>
      <c r="C21" t="str" cm="1">
        <f t="array" ref="C21">_xlfn.IFS(A21&gt;=8000,"Achiever",A21&gt;=5000,"Performer",TRUE,"Underpeformer")</f>
        <v>Achiever</v>
      </c>
      <c r="F21" s="13"/>
    </row>
    <row r="22" spans="1:6">
      <c r="A22">
        <v>7971</v>
      </c>
      <c r="B22" t="str" cm="1">
        <f t="array" ref="B22">_xlfn.IFS(A22&gt;=9000,"Excellent",A22&gt;=7000,"Very Good",A22&gt;=5000,"Good",TRUE,"Poor")</f>
        <v>Very Good</v>
      </c>
      <c r="C22" t="str" cm="1">
        <f t="array" ref="C22">_xlfn.IFS(A22&gt;=8000,"Achiever",A22&gt;=5000,"Performer",TRUE,"Underpeformer")</f>
        <v>Performer</v>
      </c>
      <c r="F22" s="13"/>
    </row>
    <row r="23" spans="1:6">
      <c r="A23">
        <v>6625</v>
      </c>
      <c r="B23" t="str" cm="1">
        <f t="array" ref="B23">_xlfn.IFS(A23&gt;=9000,"Excellent",A23&gt;=7000,"Very Good",A23&gt;=5000,"Good",TRUE,"Poor")</f>
        <v>Good</v>
      </c>
      <c r="C23" t="str" cm="1">
        <f t="array" ref="C23">_xlfn.IFS(A23&gt;=8000,"Achiever",A23&gt;=5000,"Performer",TRUE,"Underpeformer")</f>
        <v>Performer</v>
      </c>
      <c r="F23" s="13" t="s">
        <v>72</v>
      </c>
    </row>
    <row r="24" spans="1:6">
      <c r="A24">
        <v>3950</v>
      </c>
      <c r="B24" t="str" cm="1">
        <f t="array" ref="B24">_xlfn.IFS(A24&gt;=9000,"Excellent",A24&gt;=7000,"Very Good",A24&gt;=5000,"Good",TRUE,"Poor")</f>
        <v>Poor</v>
      </c>
      <c r="C24" t="str" cm="1">
        <f t="array" ref="C24">_xlfn.IFS(A24&gt;=8000,"Achiever",A24&gt;=5000,"Performer",TRUE,"Underpeformer")</f>
        <v>Underpeformer</v>
      </c>
      <c r="F24" s="13"/>
    </row>
    <row r="25" spans="1:6">
      <c r="A25">
        <v>8992</v>
      </c>
      <c r="B25" t="str" cm="1">
        <f t="array" ref="B25">_xlfn.IFS(A25&gt;=9000,"Excellent",A25&gt;=7000,"Very Good",A25&gt;=5000,"Good",TRUE,"Poor")</f>
        <v>Very Good</v>
      </c>
      <c r="C25" t="str" cm="1">
        <f t="array" ref="C25">_xlfn.IFS(A25&gt;=8000,"Achiever",A25&gt;=5000,"Performer",TRUE,"Underpeformer")</f>
        <v>Achiever</v>
      </c>
      <c r="F25" s="13" t="s">
        <v>73</v>
      </c>
    </row>
    <row r="26" spans="1:6">
      <c r="A26">
        <v>5780</v>
      </c>
      <c r="B26" t="str" cm="1">
        <f t="array" ref="B26">_xlfn.IFS(A26&gt;=9000,"Excellent",A26&gt;=7000,"Very Good",A26&gt;=5000,"Good",TRUE,"Poor")</f>
        <v>Good</v>
      </c>
      <c r="C26" t="str" cm="1">
        <f t="array" ref="C26">_xlfn.IFS(A26&gt;=8000,"Achiever",A26&gt;=5000,"Performer",TRUE,"Underpeformer")</f>
        <v>Performer</v>
      </c>
      <c r="F26" s="13"/>
    </row>
    <row r="27" spans="1:6">
      <c r="A27">
        <v>3368</v>
      </c>
      <c r="B27" t="str" cm="1">
        <f t="array" ref="B27">_xlfn.IFS(A27&gt;=9000,"Excellent",A27&gt;=7000,"Very Good",A27&gt;=5000,"Good",TRUE,"Poor")</f>
        <v>Poor</v>
      </c>
      <c r="C27" t="str" cm="1">
        <f t="array" ref="C27">_xlfn.IFS(A27&gt;=8000,"Achiever",A27&gt;=5000,"Performer",TRUE,"Underpeformer")</f>
        <v>Underpeformer</v>
      </c>
      <c r="F27" s="13" t="s">
        <v>74</v>
      </c>
    </row>
    <row r="28" spans="1:6">
      <c r="A28">
        <v>7655</v>
      </c>
      <c r="B28" t="str" cm="1">
        <f t="array" ref="B28">_xlfn.IFS(A28&gt;=9000,"Excellent",A28&gt;=7000,"Very Good",A28&gt;=5000,"Good",TRUE,"Poor")</f>
        <v>Very Good</v>
      </c>
      <c r="C28" t="str" cm="1">
        <f t="array" ref="C28">_xlfn.IFS(A28&gt;=8000,"Achiever",A28&gt;=5000,"Performer",TRUE,"Underpeformer")</f>
        <v>Performer</v>
      </c>
    </row>
    <row r="29" spans="1:6">
      <c r="A29">
        <v>9173</v>
      </c>
      <c r="B29" t="str" cm="1">
        <f t="array" ref="B29">_xlfn.IFS(A29&gt;=9000,"Excellent",A29&gt;=7000,"Very Good",A29&gt;=5000,"Good",TRUE,"Poor")</f>
        <v>Excellent</v>
      </c>
      <c r="C29" t="str" cm="1">
        <f t="array" ref="C29">_xlfn.IFS(A29&gt;=8000,"Achiever",A29&gt;=5000,"Performer",TRUE,"Underpeformer")</f>
        <v>Achiever</v>
      </c>
    </row>
    <row r="30" spans="1:6">
      <c r="A30">
        <v>5495</v>
      </c>
      <c r="B30" t="str" cm="1">
        <f t="array" ref="B30">_xlfn.IFS(A30&gt;=9000,"Excellent",A30&gt;=7000,"Very Good",A30&gt;=5000,"Good",TRUE,"Poor")</f>
        <v>Good</v>
      </c>
      <c r="C30" t="str" cm="1">
        <f t="array" ref="C30">_xlfn.IFS(A30&gt;=8000,"Achiever",A30&gt;=5000,"Performer",TRUE,"Underpeformer")</f>
        <v>Performer</v>
      </c>
    </row>
    <row r="31" spans="1:6">
      <c r="A31">
        <v>7002</v>
      </c>
      <c r="B31" t="str" cm="1">
        <f t="array" ref="B31">_xlfn.IFS(A31&gt;=9000,"Excellent",A31&gt;=7000,"Very Good",A31&gt;=5000,"Good",TRUE,"Poor")</f>
        <v>Very Good</v>
      </c>
      <c r="C31" t="str" cm="1">
        <f t="array" ref="C31">_xlfn.IFS(A31&gt;=8000,"Achiever",A31&gt;=5000,"Performer",TRUE,"Underpeformer")</f>
        <v>Performer</v>
      </c>
    </row>
    <row r="32" spans="1:6">
      <c r="A32">
        <v>7614</v>
      </c>
      <c r="B32" t="str" cm="1">
        <f t="array" ref="B32">_xlfn.IFS(A32&gt;=9000,"Excellent",A32&gt;=7000,"Very Good",A32&gt;=5000,"Good",TRUE,"Poor")</f>
        <v>Very Good</v>
      </c>
      <c r="C32" t="str" cm="1">
        <f t="array" ref="C32">_xlfn.IFS(A32&gt;=8000,"Achiever",A32&gt;=5000,"Performer",TRUE,"Underpeformer")</f>
        <v>Performer</v>
      </c>
    </row>
    <row r="33" spans="1:3">
      <c r="A33">
        <v>6919</v>
      </c>
      <c r="B33" t="str" cm="1">
        <f t="array" ref="B33">_xlfn.IFS(A33&gt;=9000,"Excellent",A33&gt;=7000,"Very Good",A33&gt;=5000,"Good",TRUE,"Poor")</f>
        <v>Good</v>
      </c>
      <c r="C33" t="str" cm="1">
        <f t="array" ref="C33">_xlfn.IFS(A33&gt;=8000,"Achiever",A33&gt;=5000,"Performer",TRUE,"Underpeformer")</f>
        <v>Performer</v>
      </c>
    </row>
    <row r="34" spans="1:3">
      <c r="A34">
        <v>1853</v>
      </c>
      <c r="B34" t="str" cm="1">
        <f t="array" ref="B34">_xlfn.IFS(A34&gt;=9000,"Excellent",A34&gt;=7000,"Very Good",A34&gt;=5000,"Good",TRUE,"Poor")</f>
        <v>Poor</v>
      </c>
      <c r="C34" t="str" cm="1">
        <f t="array" ref="C34">_xlfn.IFS(A34&gt;=8000,"Achiever",A34&gt;=5000,"Performer",TRUE,"Underpeformer")</f>
        <v>Underpeformer</v>
      </c>
    </row>
    <row r="35" spans="1:3">
      <c r="A35">
        <v>5146</v>
      </c>
      <c r="B35" t="str" cm="1">
        <f t="array" ref="B35">_xlfn.IFS(A35&gt;=9000,"Excellent",A35&gt;=7000,"Very Good",A35&gt;=5000,"Good",TRUE,"Poor")</f>
        <v>Good</v>
      </c>
      <c r="C35" t="str" cm="1">
        <f t="array" ref="C35">_xlfn.IFS(A35&gt;=8000,"Achiever",A35&gt;=5000,"Performer",TRUE,"Underpeformer")</f>
        <v>Performer</v>
      </c>
    </row>
    <row r="36" spans="1:3">
      <c r="A36">
        <v>4769</v>
      </c>
      <c r="B36" t="str" cm="1">
        <f t="array" ref="B36">_xlfn.IFS(A36&gt;=9000,"Excellent",A36&gt;=7000,"Very Good",A36&gt;=5000,"Good",TRUE,"Poor")</f>
        <v>Poor</v>
      </c>
      <c r="C36" t="str" cm="1">
        <f t="array" ref="C36">_xlfn.IFS(A36&gt;=8000,"Achiever",A36&gt;=5000,"Performer",TRUE,"Underpeformer")</f>
        <v>Underpeformer</v>
      </c>
    </row>
    <row r="37" spans="1:3">
      <c r="A37">
        <v>1574</v>
      </c>
      <c r="B37" t="str" cm="1">
        <f t="array" ref="B37">_xlfn.IFS(A37&gt;=9000,"Excellent",A37&gt;=7000,"Very Good",A37&gt;=5000,"Good",TRUE,"Poor")</f>
        <v>Poor</v>
      </c>
      <c r="C37" t="str" cm="1">
        <f t="array" ref="C37">_xlfn.IFS(A37&gt;=8000,"Achiever",A37&gt;=5000,"Performer",TRUE,"Underpeformer")</f>
        <v>Underpeformer</v>
      </c>
    </row>
    <row r="38" spans="1:3">
      <c r="A38">
        <v>2148</v>
      </c>
      <c r="B38" t="str" cm="1">
        <f t="array" ref="B38">_xlfn.IFS(A38&gt;=9000,"Excellent",A38&gt;=7000,"Very Good",A38&gt;=5000,"Good",TRUE,"Poor")</f>
        <v>Poor</v>
      </c>
      <c r="C38" t="str" cm="1">
        <f t="array" ref="C38">_xlfn.IFS(A38&gt;=8000,"Achiever",A38&gt;=5000,"Performer",TRUE,"Underpeformer")</f>
        <v>Underpeformer</v>
      </c>
    </row>
    <row r="39" spans="1:3">
      <c r="A39">
        <v>7293</v>
      </c>
      <c r="B39" t="str" cm="1">
        <f t="array" ref="B39">_xlfn.IFS(A39&gt;=9000,"Excellent",A39&gt;=7000,"Very Good",A39&gt;=5000,"Good",TRUE,"Poor")</f>
        <v>Very Good</v>
      </c>
      <c r="C39" t="str" cm="1">
        <f t="array" ref="C39">_xlfn.IFS(A39&gt;=8000,"Achiever",A39&gt;=5000,"Performer",TRUE,"Underpeformer")</f>
        <v>Performer</v>
      </c>
    </row>
    <row r="40" spans="1:3">
      <c r="A40">
        <v>7457</v>
      </c>
      <c r="B40" t="str" cm="1">
        <f t="array" ref="B40">_xlfn.IFS(A40&gt;=9000,"Excellent",A40&gt;=7000,"Very Good",A40&gt;=5000,"Good",TRUE,"Poor")</f>
        <v>Very Good</v>
      </c>
      <c r="C40" t="str" cm="1">
        <f t="array" ref="C40">_xlfn.IFS(A40&gt;=8000,"Achiever",A40&gt;=5000,"Performer",TRUE,"Underpeformer")</f>
        <v>Performer</v>
      </c>
    </row>
    <row r="41" spans="1:3">
      <c r="A41">
        <v>8509</v>
      </c>
      <c r="B41" t="str" cm="1">
        <f t="array" ref="B41">_xlfn.IFS(A41&gt;=9000,"Excellent",A41&gt;=7000,"Very Good",A41&gt;=5000,"Good",TRUE,"Poor")</f>
        <v>Very Good</v>
      </c>
      <c r="C41" t="str" cm="1">
        <f t="array" ref="C41">_xlfn.IFS(A41&gt;=8000,"Achiever",A41&gt;=5000,"Performer",TRUE,"Underpeformer")</f>
        <v>Achiever</v>
      </c>
    </row>
    <row r="42" spans="1:3">
      <c r="A42">
        <v>5777</v>
      </c>
      <c r="B42" t="str" cm="1">
        <f t="array" ref="B42">_xlfn.IFS(A42&gt;=9000,"Excellent",A42&gt;=7000,"Very Good",A42&gt;=5000,"Good",TRUE,"Poor")</f>
        <v>Good</v>
      </c>
      <c r="C42" t="str" cm="1">
        <f t="array" ref="C42">_xlfn.IFS(A42&gt;=8000,"Achiever",A42&gt;=5000,"Performer",TRUE,"Underpeformer")</f>
        <v>Performer</v>
      </c>
    </row>
    <row r="43" spans="1:3">
      <c r="A43">
        <v>4854</v>
      </c>
      <c r="B43" t="str" cm="1">
        <f t="array" ref="B43">_xlfn.IFS(A43&gt;=9000,"Excellent",A43&gt;=7000,"Very Good",A43&gt;=5000,"Good",TRUE,"Poor")</f>
        <v>Poor</v>
      </c>
      <c r="C43" t="str" cm="1">
        <f t="array" ref="C43">_xlfn.IFS(A43&gt;=8000,"Achiever",A43&gt;=5000,"Performer",TRUE,"Underpeformer")</f>
        <v>Underpeformer</v>
      </c>
    </row>
    <row r="44" spans="1:3">
      <c r="A44">
        <v>3491</v>
      </c>
      <c r="B44" t="str" cm="1">
        <f t="array" ref="B44">_xlfn.IFS(A44&gt;=9000,"Excellent",A44&gt;=7000,"Very Good",A44&gt;=5000,"Good",TRUE,"Poor")</f>
        <v>Poor</v>
      </c>
      <c r="C44" t="str" cm="1">
        <f t="array" ref="C44">_xlfn.IFS(A44&gt;=8000,"Achiever",A44&gt;=5000,"Performer",TRUE,"Underpeformer")</f>
        <v>Underpeformer</v>
      </c>
    </row>
    <row r="45" spans="1:3">
      <c r="A45">
        <v>4124</v>
      </c>
      <c r="B45" t="str" cm="1">
        <f t="array" ref="B45">_xlfn.IFS(A45&gt;=9000,"Excellent",A45&gt;=7000,"Very Good",A45&gt;=5000,"Good",TRUE,"Poor")</f>
        <v>Poor</v>
      </c>
      <c r="C45" t="str" cm="1">
        <f t="array" ref="C45">_xlfn.IFS(A45&gt;=8000,"Achiever",A45&gt;=5000,"Performer",TRUE,"Underpeformer")</f>
        <v>Underpeformer</v>
      </c>
    </row>
    <row r="46" spans="1:3">
      <c r="A46">
        <v>6691</v>
      </c>
      <c r="B46" t="str" cm="1">
        <f t="array" ref="B46">_xlfn.IFS(A46&gt;=9000,"Excellent",A46&gt;=7000,"Very Good",A46&gt;=5000,"Good",TRUE,"Poor")</f>
        <v>Good</v>
      </c>
      <c r="C46" t="str" cm="1">
        <f t="array" ref="C46">_xlfn.IFS(A46&gt;=8000,"Achiever",A46&gt;=5000,"Performer",TRUE,"Underpeformer")</f>
        <v>Performer</v>
      </c>
    </row>
    <row r="47" spans="1:3">
      <c r="A47">
        <v>4051</v>
      </c>
      <c r="B47" t="str" cm="1">
        <f t="array" ref="B47">_xlfn.IFS(A47&gt;=9000,"Excellent",A47&gt;=7000,"Very Good",A47&gt;=5000,"Good",TRUE,"Poor")</f>
        <v>Poor</v>
      </c>
      <c r="C47" t="str" cm="1">
        <f t="array" ref="C47">_xlfn.IFS(A47&gt;=8000,"Achiever",A47&gt;=5000,"Performer",TRUE,"Underpeformer")</f>
        <v>Underpeformer</v>
      </c>
    </row>
    <row r="48" spans="1:3">
      <c r="A48">
        <v>1004</v>
      </c>
      <c r="B48" t="str" cm="1">
        <f t="array" ref="B48">_xlfn.IFS(A48&gt;=9000,"Excellent",A48&gt;=7000,"Very Good",A48&gt;=5000,"Good",TRUE,"Poor")</f>
        <v>Poor</v>
      </c>
      <c r="C48" t="str" cm="1">
        <f t="array" ref="C48">_xlfn.IFS(A48&gt;=8000,"Achiever",A48&gt;=5000,"Performer",TRUE,"Underpeformer")</f>
        <v>Underpeformer</v>
      </c>
    </row>
    <row r="49" spans="1:3">
      <c r="A49">
        <v>6222</v>
      </c>
      <c r="B49" t="str" cm="1">
        <f t="array" ref="B49">_xlfn.IFS(A49&gt;=9000,"Excellent",A49&gt;=7000,"Very Good",A49&gt;=5000,"Good",TRUE,"Poor")</f>
        <v>Good</v>
      </c>
      <c r="C49" t="str" cm="1">
        <f t="array" ref="C49">_xlfn.IFS(A49&gt;=8000,"Achiever",A49&gt;=5000,"Performer",TRUE,"Underpeformer")</f>
        <v>Performer</v>
      </c>
    </row>
    <row r="50" spans="1:3">
      <c r="A50">
        <v>6315</v>
      </c>
      <c r="B50" t="str" cm="1">
        <f t="array" ref="B50">_xlfn.IFS(A50&gt;=9000,"Excellent",A50&gt;=7000,"Very Good",A50&gt;=5000,"Good",TRUE,"Poor")</f>
        <v>Good</v>
      </c>
      <c r="C50" t="str" cm="1">
        <f t="array" ref="C50">_xlfn.IFS(A50&gt;=8000,"Achiever",A50&gt;=5000,"Performer",TRUE,"Underpeformer")</f>
        <v>Performer</v>
      </c>
    </row>
    <row r="51" spans="1:3">
      <c r="A51">
        <v>5869</v>
      </c>
      <c r="B51" t="str" cm="1">
        <f t="array" ref="B51">_xlfn.IFS(A51&gt;=9000,"Excellent",A51&gt;=7000,"Very Good",A51&gt;=5000,"Good",TRUE,"Poor")</f>
        <v>Good</v>
      </c>
      <c r="C51" t="str" cm="1">
        <f t="array" ref="C51">_xlfn.IFS(A51&gt;=8000,"Achiever",A51&gt;=5000,"Performer",TRUE,"Underpeformer")</f>
        <v>Performer</v>
      </c>
    </row>
    <row r="52" spans="1:3">
      <c r="A52">
        <v>1876</v>
      </c>
      <c r="B52" t="str" cm="1">
        <f t="array" ref="B52">_xlfn.IFS(A52&gt;=9000,"Excellent",A52&gt;=7000,"Very Good",A52&gt;=5000,"Good",TRUE,"Poor")</f>
        <v>Poor</v>
      </c>
      <c r="C52" t="str" cm="1">
        <f t="array" ref="C52">_xlfn.IFS(A52&gt;=8000,"Achiever",A52&gt;=5000,"Performer",TRUE,"Underpeformer")</f>
        <v>Underpeformer</v>
      </c>
    </row>
    <row r="53" spans="1:3">
      <c r="A53">
        <v>8027</v>
      </c>
      <c r="B53" t="str" cm="1">
        <f t="array" ref="B53">_xlfn.IFS(A53&gt;=9000,"Excellent",A53&gt;=7000,"Very Good",A53&gt;=5000,"Good",TRUE,"Poor")</f>
        <v>Very Good</v>
      </c>
      <c r="C53" t="str" cm="1">
        <f t="array" ref="C53">_xlfn.IFS(A53&gt;=8000,"Achiever",A53&gt;=5000,"Performer",TRUE,"Underpeformer")</f>
        <v>Achiever</v>
      </c>
    </row>
    <row r="54" spans="1:3">
      <c r="A54">
        <v>5142</v>
      </c>
      <c r="B54" t="str" cm="1">
        <f t="array" ref="B54">_xlfn.IFS(A54&gt;=9000,"Excellent",A54&gt;=7000,"Very Good",A54&gt;=5000,"Good",TRUE,"Poor")</f>
        <v>Good</v>
      </c>
      <c r="C54" t="str" cm="1">
        <f t="array" ref="C54">_xlfn.IFS(A54&gt;=8000,"Achiever",A54&gt;=5000,"Performer",TRUE,"Underpeformer")</f>
        <v>Performer</v>
      </c>
    </row>
    <row r="55" spans="1:3">
      <c r="A55">
        <v>7966</v>
      </c>
      <c r="B55" t="str" cm="1">
        <f t="array" ref="B55">_xlfn.IFS(A55&gt;=9000,"Excellent",A55&gt;=7000,"Very Good",A55&gt;=5000,"Good",TRUE,"Poor")</f>
        <v>Very Good</v>
      </c>
      <c r="C55" t="str" cm="1">
        <f t="array" ref="C55">_xlfn.IFS(A55&gt;=8000,"Achiever",A55&gt;=5000,"Performer",TRUE,"Underpeformer")</f>
        <v>Performer</v>
      </c>
    </row>
    <row r="56" spans="1:3">
      <c r="A56">
        <v>8079</v>
      </c>
      <c r="B56" t="str" cm="1">
        <f t="array" ref="B56">_xlfn.IFS(A56&gt;=9000,"Excellent",A56&gt;=7000,"Very Good",A56&gt;=5000,"Good",TRUE,"Poor")</f>
        <v>Very Good</v>
      </c>
      <c r="C56" t="str" cm="1">
        <f t="array" ref="C56">_xlfn.IFS(A56&gt;=8000,"Achiever",A56&gt;=5000,"Performer",TRUE,"Underpeformer")</f>
        <v>Achiever</v>
      </c>
    </row>
    <row r="57" spans="1:3">
      <c r="A57">
        <v>8987</v>
      </c>
      <c r="B57" t="str" cm="1">
        <f t="array" ref="B57">_xlfn.IFS(A57&gt;=9000,"Excellent",A57&gt;=7000,"Very Good",A57&gt;=5000,"Good",TRUE,"Poor")</f>
        <v>Very Good</v>
      </c>
      <c r="C57" t="str" cm="1">
        <f t="array" ref="C57">_xlfn.IFS(A57&gt;=8000,"Achiever",A57&gt;=5000,"Performer",TRUE,"Underpeformer")</f>
        <v>Achiever</v>
      </c>
    </row>
    <row r="58" spans="1:3">
      <c r="A58">
        <v>7799</v>
      </c>
      <c r="B58" t="str" cm="1">
        <f t="array" ref="B58">_xlfn.IFS(A58&gt;=9000,"Excellent",A58&gt;=7000,"Very Good",A58&gt;=5000,"Good",TRUE,"Poor")</f>
        <v>Very Good</v>
      </c>
      <c r="C58" t="str" cm="1">
        <f t="array" ref="C58">_xlfn.IFS(A58&gt;=8000,"Achiever",A58&gt;=5000,"Performer",TRUE,"Underpeformer")</f>
        <v>Performer</v>
      </c>
    </row>
    <row r="59" spans="1:3">
      <c r="A59">
        <v>5465</v>
      </c>
      <c r="B59" t="str" cm="1">
        <f t="array" ref="B59">_xlfn.IFS(A59&gt;=9000,"Excellent",A59&gt;=7000,"Very Good",A59&gt;=5000,"Good",TRUE,"Poor")</f>
        <v>Good</v>
      </c>
      <c r="C59" t="str" cm="1">
        <f t="array" ref="C59">_xlfn.IFS(A59&gt;=8000,"Achiever",A59&gt;=5000,"Performer",TRUE,"Underpeformer")</f>
        <v>Performer</v>
      </c>
    </row>
    <row r="60" spans="1:3">
      <c r="A60">
        <v>1635</v>
      </c>
      <c r="B60" t="str" cm="1">
        <f t="array" ref="B60">_xlfn.IFS(A60&gt;=9000,"Excellent",A60&gt;=7000,"Very Good",A60&gt;=5000,"Good",TRUE,"Poor")</f>
        <v>Poor</v>
      </c>
      <c r="C60" t="str" cm="1">
        <f t="array" ref="C60">_xlfn.IFS(A60&gt;=8000,"Achiever",A60&gt;=5000,"Performer",TRUE,"Underpeformer")</f>
        <v>Underpeformer</v>
      </c>
    </row>
    <row r="61" spans="1:3">
      <c r="A61">
        <v>2693</v>
      </c>
      <c r="B61" t="str" cm="1">
        <f t="array" ref="B61">_xlfn.IFS(A61&gt;=9000,"Excellent",A61&gt;=7000,"Very Good",A61&gt;=5000,"Good",TRUE,"Poor")</f>
        <v>Poor</v>
      </c>
      <c r="C61" t="str" cm="1">
        <f t="array" ref="C61">_xlfn.IFS(A61&gt;=8000,"Achiever",A61&gt;=5000,"Performer",TRUE,"Underpeformer")</f>
        <v>Underpeformer</v>
      </c>
    </row>
    <row r="62" spans="1:3">
      <c r="A62">
        <v>5752</v>
      </c>
      <c r="B62" t="str" cm="1">
        <f t="array" ref="B62">_xlfn.IFS(A62&gt;=9000,"Excellent",A62&gt;=7000,"Very Good",A62&gt;=5000,"Good",TRUE,"Poor")</f>
        <v>Good</v>
      </c>
      <c r="C62" t="str" cm="1">
        <f t="array" ref="C62">_xlfn.IFS(A62&gt;=8000,"Achiever",A62&gt;=5000,"Performer",TRUE,"Underpeformer")</f>
        <v>Performer</v>
      </c>
    </row>
    <row r="63" spans="1:3">
      <c r="A63">
        <v>9311</v>
      </c>
      <c r="B63" t="str" cm="1">
        <f t="array" ref="B63">_xlfn.IFS(A63&gt;=9000,"Excellent",A63&gt;=7000,"Very Good",A63&gt;=5000,"Good",TRUE,"Poor")</f>
        <v>Excellent</v>
      </c>
      <c r="C63" t="str" cm="1">
        <f t="array" ref="C63">_xlfn.IFS(A63&gt;=8000,"Achiever",A63&gt;=5000,"Performer",TRUE,"Underpeformer")</f>
        <v>Achiever</v>
      </c>
    </row>
    <row r="64" spans="1:3">
      <c r="A64">
        <v>1830</v>
      </c>
      <c r="B64" t="str" cm="1">
        <f t="array" ref="B64">_xlfn.IFS(A64&gt;=9000,"Excellent",A64&gt;=7000,"Very Good",A64&gt;=5000,"Good",TRUE,"Poor")</f>
        <v>Poor</v>
      </c>
      <c r="C64" t="str" cm="1">
        <f t="array" ref="C64">_xlfn.IFS(A64&gt;=8000,"Achiever",A64&gt;=5000,"Performer",TRUE,"Underpeformer")</f>
        <v>Underpeformer</v>
      </c>
    </row>
    <row r="65" spans="1:3">
      <c r="A65">
        <v>6177</v>
      </c>
      <c r="B65" t="str" cm="1">
        <f t="array" ref="B65">_xlfn.IFS(A65&gt;=9000,"Excellent",A65&gt;=7000,"Very Good",A65&gt;=5000,"Good",TRUE,"Poor")</f>
        <v>Good</v>
      </c>
      <c r="C65" t="str" cm="1">
        <f t="array" ref="C65">_xlfn.IFS(A65&gt;=8000,"Achiever",A65&gt;=5000,"Performer",TRUE,"Underpeformer")</f>
        <v>Performer</v>
      </c>
    </row>
    <row r="66" spans="1:3">
      <c r="A66">
        <v>9932</v>
      </c>
      <c r="B66" t="str" cm="1">
        <f t="array" ref="B66">_xlfn.IFS(A66&gt;=9000,"Excellent",A66&gt;=7000,"Very Good",A66&gt;=5000,"Good",TRUE,"Poor")</f>
        <v>Excellent</v>
      </c>
      <c r="C66" t="str" cm="1">
        <f t="array" ref="C66">_xlfn.IFS(A66&gt;=8000,"Achiever",A66&gt;=5000,"Performer",TRUE,"Underpeformer")</f>
        <v>Achiever</v>
      </c>
    </row>
    <row r="67" spans="1:3">
      <c r="A67">
        <v>9308</v>
      </c>
      <c r="B67" t="str" cm="1">
        <f t="array" ref="B67">_xlfn.IFS(A67&gt;=9000,"Excellent",A67&gt;=7000,"Very Good",A67&gt;=5000,"Good",TRUE,"Poor")</f>
        <v>Excellent</v>
      </c>
      <c r="C67" t="str" cm="1">
        <f t="array" ref="C67">_xlfn.IFS(A67&gt;=8000,"Achiever",A67&gt;=5000,"Performer",TRUE,"Underpeformer")</f>
        <v>Achiever</v>
      </c>
    </row>
    <row r="68" spans="1:3">
      <c r="A68">
        <v>6949</v>
      </c>
      <c r="B68" t="str" cm="1">
        <f t="array" ref="B68">_xlfn.IFS(A68&gt;=9000,"Excellent",A68&gt;=7000,"Very Good",A68&gt;=5000,"Good",TRUE,"Poor")</f>
        <v>Good</v>
      </c>
      <c r="C68" t="str" cm="1">
        <f t="array" ref="C68">_xlfn.IFS(A68&gt;=8000,"Achiever",A68&gt;=5000,"Performer",TRUE,"Underpeformer")</f>
        <v>Performer</v>
      </c>
    </row>
    <row r="69" spans="1:3">
      <c r="A69">
        <v>3838</v>
      </c>
      <c r="B69" t="str" cm="1">
        <f t="array" ref="B69">_xlfn.IFS(A69&gt;=9000,"Excellent",A69&gt;=7000,"Very Good",A69&gt;=5000,"Good",TRUE,"Poor")</f>
        <v>Poor</v>
      </c>
      <c r="C69" t="str" cm="1">
        <f t="array" ref="C69">_xlfn.IFS(A69&gt;=8000,"Achiever",A69&gt;=5000,"Performer",TRUE,"Underpeformer")</f>
        <v>Underpeformer</v>
      </c>
    </row>
    <row r="70" spans="1:3">
      <c r="A70">
        <v>2150</v>
      </c>
      <c r="B70" t="str" cm="1">
        <f t="array" ref="B70">_xlfn.IFS(A70&gt;=9000,"Excellent",A70&gt;=7000,"Very Good",A70&gt;=5000,"Good",TRUE,"Poor")</f>
        <v>Poor</v>
      </c>
      <c r="C70" t="str" cm="1">
        <f t="array" ref="C70">_xlfn.IFS(A70&gt;=8000,"Achiever",A70&gt;=5000,"Performer",TRUE,"Underpeformer")</f>
        <v>Underpeformer</v>
      </c>
    </row>
    <row r="71" spans="1:3">
      <c r="A71">
        <v>8560</v>
      </c>
      <c r="B71" t="str" cm="1">
        <f t="array" ref="B71">_xlfn.IFS(A71&gt;=9000,"Excellent",A71&gt;=7000,"Very Good",A71&gt;=5000,"Good",TRUE,"Poor")</f>
        <v>Very Good</v>
      </c>
      <c r="C71" t="str" cm="1">
        <f t="array" ref="C71">_xlfn.IFS(A71&gt;=8000,"Achiever",A71&gt;=5000,"Performer",TRUE,"Underpeformer")</f>
        <v>Achiever</v>
      </c>
    </row>
    <row r="72" spans="1:3">
      <c r="A72">
        <v>2931</v>
      </c>
      <c r="B72" t="str" cm="1">
        <f t="array" ref="B72">_xlfn.IFS(A72&gt;=9000,"Excellent",A72&gt;=7000,"Very Good",A72&gt;=5000,"Good",TRUE,"Poor")</f>
        <v>Poor</v>
      </c>
      <c r="C72" t="str" cm="1">
        <f t="array" ref="C72">_xlfn.IFS(A72&gt;=8000,"Achiever",A72&gt;=5000,"Performer",TRUE,"Underpeformer")</f>
        <v>Underpeformer</v>
      </c>
    </row>
    <row r="73" spans="1:3">
      <c r="A73">
        <v>2664</v>
      </c>
      <c r="B73" t="str" cm="1">
        <f t="array" ref="B73">_xlfn.IFS(A73&gt;=9000,"Excellent",A73&gt;=7000,"Very Good",A73&gt;=5000,"Good",TRUE,"Poor")</f>
        <v>Poor</v>
      </c>
      <c r="C73" t="str" cm="1">
        <f t="array" ref="C73">_xlfn.IFS(A73&gt;=8000,"Achiever",A73&gt;=5000,"Performer",TRUE,"Underpeformer")</f>
        <v>Underpeformer</v>
      </c>
    </row>
    <row r="74" spans="1:3">
      <c r="A74">
        <v>2081</v>
      </c>
      <c r="B74" t="str" cm="1">
        <f t="array" ref="B74">_xlfn.IFS(A74&gt;=9000,"Excellent",A74&gt;=7000,"Very Good",A74&gt;=5000,"Good",TRUE,"Poor")</f>
        <v>Poor</v>
      </c>
      <c r="C74" t="str" cm="1">
        <f t="array" ref="C74">_xlfn.IFS(A74&gt;=8000,"Achiever",A74&gt;=5000,"Performer",TRUE,"Underpeformer")</f>
        <v>Underpeformer</v>
      </c>
    </row>
    <row r="75" spans="1:3">
      <c r="A75">
        <v>1512</v>
      </c>
      <c r="B75" t="str" cm="1">
        <f t="array" ref="B75">_xlfn.IFS(A75&gt;=9000,"Excellent",A75&gt;=7000,"Very Good",A75&gt;=5000,"Good",TRUE,"Poor")</f>
        <v>Poor</v>
      </c>
      <c r="C75" t="str" cm="1">
        <f t="array" ref="C75">_xlfn.IFS(A75&gt;=8000,"Achiever",A75&gt;=5000,"Performer",TRUE,"Underpeformer")</f>
        <v>Underpeformer</v>
      </c>
    </row>
    <row r="76" spans="1:3">
      <c r="A76">
        <v>8805</v>
      </c>
      <c r="B76" t="str" cm="1">
        <f t="array" ref="B76">_xlfn.IFS(A76&gt;=9000,"Excellent",A76&gt;=7000,"Very Good",A76&gt;=5000,"Good",TRUE,"Poor")</f>
        <v>Very Good</v>
      </c>
      <c r="C76" t="str" cm="1">
        <f t="array" ref="C76">_xlfn.IFS(A76&gt;=8000,"Achiever",A76&gt;=5000,"Performer",TRUE,"Underpeformer")</f>
        <v>Achiever</v>
      </c>
    </row>
    <row r="77" spans="1:3">
      <c r="A77">
        <v>6237</v>
      </c>
      <c r="B77" t="str" cm="1">
        <f t="array" ref="B77">_xlfn.IFS(A77&gt;=9000,"Excellent",A77&gt;=7000,"Very Good",A77&gt;=5000,"Good",TRUE,"Poor")</f>
        <v>Good</v>
      </c>
      <c r="C77" t="str" cm="1">
        <f t="array" ref="C77">_xlfn.IFS(A77&gt;=8000,"Achiever",A77&gt;=5000,"Performer",TRUE,"Underpeformer")</f>
        <v>Performer</v>
      </c>
    </row>
    <row r="78" spans="1:3">
      <c r="A78">
        <v>1559</v>
      </c>
      <c r="B78" t="str" cm="1">
        <f t="array" ref="B78">_xlfn.IFS(A78&gt;=9000,"Excellent",A78&gt;=7000,"Very Good",A78&gt;=5000,"Good",TRUE,"Poor")</f>
        <v>Poor</v>
      </c>
      <c r="C78" t="str" cm="1">
        <f t="array" ref="C78">_xlfn.IFS(A78&gt;=8000,"Achiever",A78&gt;=5000,"Performer",TRUE,"Underpeformer")</f>
        <v>Underpeformer</v>
      </c>
    </row>
    <row r="79" spans="1:3">
      <c r="A79">
        <v>4672</v>
      </c>
      <c r="B79" t="str" cm="1">
        <f t="array" ref="B79">_xlfn.IFS(A79&gt;=9000,"Excellent",A79&gt;=7000,"Very Good",A79&gt;=5000,"Good",TRUE,"Poor")</f>
        <v>Poor</v>
      </c>
      <c r="C79" t="str" cm="1">
        <f t="array" ref="C79">_xlfn.IFS(A79&gt;=8000,"Achiever",A79&gt;=5000,"Performer",TRUE,"Underpeformer")</f>
        <v>Underpeformer</v>
      </c>
    </row>
    <row r="80" spans="1:3">
      <c r="A80">
        <v>8404</v>
      </c>
      <c r="B80" t="str" cm="1">
        <f t="array" ref="B80">_xlfn.IFS(A80&gt;=9000,"Excellent",A80&gt;=7000,"Very Good",A80&gt;=5000,"Good",TRUE,"Poor")</f>
        <v>Very Good</v>
      </c>
      <c r="C80" t="str" cm="1">
        <f t="array" ref="C80">_xlfn.IFS(A80&gt;=8000,"Achiever",A80&gt;=5000,"Performer",TRUE,"Underpeformer")</f>
        <v>Achiever</v>
      </c>
    </row>
    <row r="81" spans="1:3">
      <c r="A81">
        <v>4343</v>
      </c>
      <c r="B81" t="str" cm="1">
        <f t="array" ref="B81">_xlfn.IFS(A81&gt;=9000,"Excellent",A81&gt;=7000,"Very Good",A81&gt;=5000,"Good",TRUE,"Poor")</f>
        <v>Poor</v>
      </c>
      <c r="C81" t="str" cm="1">
        <f t="array" ref="C81">_xlfn.IFS(A81&gt;=8000,"Achiever",A81&gt;=5000,"Performer",TRUE,"Underpeformer")</f>
        <v>Underpeformer</v>
      </c>
    </row>
    <row r="82" spans="1:3">
      <c r="A82">
        <v>5070</v>
      </c>
      <c r="B82" t="str" cm="1">
        <f t="array" ref="B82">_xlfn.IFS(A82&gt;=9000,"Excellent",A82&gt;=7000,"Very Good",A82&gt;=5000,"Good",TRUE,"Poor")</f>
        <v>Good</v>
      </c>
      <c r="C82" t="str" cm="1">
        <f t="array" ref="C82">_xlfn.IFS(A82&gt;=8000,"Achiever",A82&gt;=5000,"Performer",TRUE,"Underpeformer")</f>
        <v>Performer</v>
      </c>
    </row>
    <row r="83" spans="1:3">
      <c r="A83">
        <v>1580</v>
      </c>
      <c r="B83" t="str" cm="1">
        <f t="array" ref="B83">_xlfn.IFS(A83&gt;=9000,"Excellent",A83&gt;=7000,"Very Good",A83&gt;=5000,"Good",TRUE,"Poor")</f>
        <v>Poor</v>
      </c>
      <c r="C83" t="str" cm="1">
        <f t="array" ref="C83">_xlfn.IFS(A83&gt;=8000,"Achiever",A83&gt;=5000,"Performer",TRUE,"Underpeformer")</f>
        <v>Underpeformer</v>
      </c>
    </row>
    <row r="84" spans="1:3">
      <c r="A84">
        <v>8004</v>
      </c>
      <c r="B84" t="str" cm="1">
        <f t="array" ref="B84">_xlfn.IFS(A84&gt;=9000,"Excellent",A84&gt;=7000,"Very Good",A84&gt;=5000,"Good",TRUE,"Poor")</f>
        <v>Very Good</v>
      </c>
      <c r="C84" t="str" cm="1">
        <f t="array" ref="C84">_xlfn.IFS(A84&gt;=8000,"Achiever",A84&gt;=5000,"Performer",TRUE,"Underpeformer")</f>
        <v>Achiever</v>
      </c>
    </row>
    <row r="85" spans="1:3">
      <c r="A85">
        <v>9130</v>
      </c>
      <c r="B85" t="str" cm="1">
        <f t="array" ref="B85">_xlfn.IFS(A85&gt;=9000,"Excellent",A85&gt;=7000,"Very Good",A85&gt;=5000,"Good",TRUE,"Poor")</f>
        <v>Excellent</v>
      </c>
      <c r="C85" t="str" cm="1">
        <f t="array" ref="C85">_xlfn.IFS(A85&gt;=8000,"Achiever",A85&gt;=5000,"Performer",TRUE,"Underpeformer")</f>
        <v>Achiever</v>
      </c>
    </row>
    <row r="86" spans="1:3">
      <c r="A86">
        <v>4147</v>
      </c>
      <c r="B86" t="str" cm="1">
        <f t="array" ref="B86">_xlfn.IFS(A86&gt;=9000,"Excellent",A86&gt;=7000,"Very Good",A86&gt;=5000,"Good",TRUE,"Poor")</f>
        <v>Poor</v>
      </c>
      <c r="C86" t="str" cm="1">
        <f t="array" ref="C86">_xlfn.IFS(A86&gt;=8000,"Achiever",A86&gt;=5000,"Performer",TRUE,"Underpeformer")</f>
        <v>Underpeformer</v>
      </c>
    </row>
    <row r="87" spans="1:3">
      <c r="A87">
        <v>5249</v>
      </c>
      <c r="B87" t="str" cm="1">
        <f t="array" ref="B87">_xlfn.IFS(A87&gt;=9000,"Excellent",A87&gt;=7000,"Very Good",A87&gt;=5000,"Good",TRUE,"Poor")</f>
        <v>Good</v>
      </c>
      <c r="C87" t="str" cm="1">
        <f t="array" ref="C87">_xlfn.IFS(A87&gt;=8000,"Achiever",A87&gt;=5000,"Performer",TRUE,"Underpeformer")</f>
        <v>Performer</v>
      </c>
    </row>
    <row r="88" spans="1:3">
      <c r="A88">
        <v>2679</v>
      </c>
      <c r="B88" t="str" cm="1">
        <f t="array" ref="B88">_xlfn.IFS(A88&gt;=9000,"Excellent",A88&gt;=7000,"Very Good",A88&gt;=5000,"Good",TRUE,"Poor")</f>
        <v>Poor</v>
      </c>
      <c r="C88" t="str" cm="1">
        <f t="array" ref="C88">_xlfn.IFS(A88&gt;=8000,"Achiever",A88&gt;=5000,"Performer",TRUE,"Underpeformer")</f>
        <v>Underpeformer</v>
      </c>
    </row>
    <row r="89" spans="1:3">
      <c r="A89">
        <v>4506</v>
      </c>
      <c r="B89" t="str" cm="1">
        <f t="array" ref="B89">_xlfn.IFS(A89&gt;=9000,"Excellent",A89&gt;=7000,"Very Good",A89&gt;=5000,"Good",TRUE,"Poor")</f>
        <v>Poor</v>
      </c>
      <c r="C89" t="str" cm="1">
        <f t="array" ref="C89">_xlfn.IFS(A89&gt;=8000,"Achiever",A89&gt;=5000,"Performer",TRUE,"Underpeformer")</f>
        <v>Underpeformer</v>
      </c>
    </row>
    <row r="90" spans="1:3">
      <c r="A90">
        <v>8253</v>
      </c>
      <c r="B90" t="str" cm="1">
        <f t="array" ref="B90">_xlfn.IFS(A90&gt;=9000,"Excellent",A90&gt;=7000,"Very Good",A90&gt;=5000,"Good",TRUE,"Poor")</f>
        <v>Very Good</v>
      </c>
      <c r="C90" t="str" cm="1">
        <f t="array" ref="C90">_xlfn.IFS(A90&gt;=8000,"Achiever",A90&gt;=5000,"Performer",TRUE,"Underpeformer")</f>
        <v>Achiever</v>
      </c>
    </row>
    <row r="91" spans="1:3">
      <c r="A91">
        <v>3744</v>
      </c>
      <c r="B91" t="str" cm="1">
        <f t="array" ref="B91">_xlfn.IFS(A91&gt;=9000,"Excellent",A91&gt;=7000,"Very Good",A91&gt;=5000,"Good",TRUE,"Poor")</f>
        <v>Poor</v>
      </c>
      <c r="C91" t="str" cm="1">
        <f t="array" ref="C91">_xlfn.IFS(A91&gt;=8000,"Achiever",A91&gt;=5000,"Performer",TRUE,"Underpeformer")</f>
        <v>Underpeformer</v>
      </c>
    </row>
    <row r="92" spans="1:3">
      <c r="A92">
        <v>6188</v>
      </c>
      <c r="B92" t="str" cm="1">
        <f t="array" ref="B92">_xlfn.IFS(A92&gt;=9000,"Excellent",A92&gt;=7000,"Very Good",A92&gt;=5000,"Good",TRUE,"Poor")</f>
        <v>Good</v>
      </c>
      <c r="C92" t="str" cm="1">
        <f t="array" ref="C92">_xlfn.IFS(A92&gt;=8000,"Achiever",A92&gt;=5000,"Performer",TRUE,"Underpeformer")</f>
        <v>Performer</v>
      </c>
    </row>
    <row r="93" spans="1:3">
      <c r="A93">
        <v>3141</v>
      </c>
      <c r="B93" t="str" cm="1">
        <f t="array" ref="B93">_xlfn.IFS(A93&gt;=9000,"Excellent",A93&gt;=7000,"Very Good",A93&gt;=5000,"Good",TRUE,"Poor")</f>
        <v>Poor</v>
      </c>
      <c r="C93" t="str" cm="1">
        <f t="array" ref="C93">_xlfn.IFS(A93&gt;=8000,"Achiever",A93&gt;=5000,"Performer",TRUE,"Underpeformer")</f>
        <v>Underpeformer</v>
      </c>
    </row>
    <row r="94" spans="1:3">
      <c r="A94">
        <v>7617</v>
      </c>
      <c r="B94" t="str" cm="1">
        <f t="array" ref="B94">_xlfn.IFS(A94&gt;=9000,"Excellent",A94&gt;=7000,"Very Good",A94&gt;=5000,"Good",TRUE,"Poor")</f>
        <v>Very Good</v>
      </c>
      <c r="C94" t="str" cm="1">
        <f t="array" ref="C94">_xlfn.IFS(A94&gt;=8000,"Achiever",A94&gt;=5000,"Performer",TRUE,"Underpeformer")</f>
        <v>Performer</v>
      </c>
    </row>
    <row r="95" spans="1:3">
      <c r="A95">
        <v>3479</v>
      </c>
      <c r="B95" t="str" cm="1">
        <f t="array" ref="B95">_xlfn.IFS(A95&gt;=9000,"Excellent",A95&gt;=7000,"Very Good",A95&gt;=5000,"Good",TRUE,"Poor")</f>
        <v>Poor</v>
      </c>
      <c r="C95" t="str" cm="1">
        <f t="array" ref="C95">_xlfn.IFS(A95&gt;=8000,"Achiever",A95&gt;=5000,"Performer",TRUE,"Underpeformer")</f>
        <v>Underpeformer</v>
      </c>
    </row>
    <row r="96" spans="1:3">
      <c r="A96">
        <v>7484</v>
      </c>
      <c r="B96" t="str" cm="1">
        <f t="array" ref="B96">_xlfn.IFS(A96&gt;=9000,"Excellent",A96&gt;=7000,"Very Good",A96&gt;=5000,"Good",TRUE,"Poor")</f>
        <v>Very Good</v>
      </c>
      <c r="C96" t="str" cm="1">
        <f t="array" ref="C96">_xlfn.IFS(A96&gt;=8000,"Achiever",A96&gt;=5000,"Performer",TRUE,"Underpeformer")</f>
        <v>Performer</v>
      </c>
    </row>
    <row r="97" spans="1:3">
      <c r="A97">
        <v>8421</v>
      </c>
      <c r="B97" t="str" cm="1">
        <f t="array" ref="B97">_xlfn.IFS(A97&gt;=9000,"Excellent",A97&gt;=7000,"Very Good",A97&gt;=5000,"Good",TRUE,"Poor")</f>
        <v>Very Good</v>
      </c>
      <c r="C97" t="str" cm="1">
        <f t="array" ref="C97">_xlfn.IFS(A97&gt;=8000,"Achiever",A97&gt;=5000,"Performer",TRUE,"Underpeformer")</f>
        <v>Achiever</v>
      </c>
    </row>
    <row r="98" spans="1:3">
      <c r="A98">
        <v>5452</v>
      </c>
      <c r="B98" t="str" cm="1">
        <f t="array" ref="B98">_xlfn.IFS(A98&gt;=9000,"Excellent",A98&gt;=7000,"Very Good",A98&gt;=5000,"Good",TRUE,"Poor")</f>
        <v>Good</v>
      </c>
      <c r="C98" t="str" cm="1">
        <f t="array" ref="C98">_xlfn.IFS(A98&gt;=8000,"Achiever",A98&gt;=5000,"Performer",TRUE,"Underpeformer")</f>
        <v>Performer</v>
      </c>
    </row>
    <row r="99" spans="1:3">
      <c r="A99">
        <v>6881</v>
      </c>
      <c r="B99" t="str" cm="1">
        <f t="array" ref="B99">_xlfn.IFS(A99&gt;=9000,"Excellent",A99&gt;=7000,"Very Good",A99&gt;=5000,"Good",TRUE,"Poor")</f>
        <v>Good</v>
      </c>
      <c r="C99" t="str" cm="1">
        <f t="array" ref="C99">_xlfn.IFS(A99&gt;=8000,"Achiever",A99&gt;=5000,"Performer",TRUE,"Underpeformer")</f>
        <v>Performer</v>
      </c>
    </row>
    <row r="100" spans="1:3">
      <c r="A100">
        <v>7665</v>
      </c>
      <c r="B100" t="str" cm="1">
        <f t="array" ref="B100">_xlfn.IFS(A100&gt;=9000,"Excellent",A100&gt;=7000,"Very Good",A100&gt;=5000,"Good",TRUE,"Poor")</f>
        <v>Very Good</v>
      </c>
      <c r="C100" t="str" cm="1">
        <f t="array" ref="C100">_xlfn.IFS(A100&gt;=8000,"Achiever",A100&gt;=5000,"Performer",TRUE,"Underpeformer")</f>
        <v>Performer</v>
      </c>
    </row>
    <row r="101" spans="1:3">
      <c r="A101">
        <v>3849</v>
      </c>
      <c r="B101" t="str" cm="1">
        <f t="array" ref="B101">_xlfn.IFS(A101&gt;=9000,"Excellent",A101&gt;=7000,"Very Good",A101&gt;=5000,"Good",TRUE,"Poor")</f>
        <v>Poor</v>
      </c>
      <c r="C101" t="str" cm="1">
        <f t="array" ref="C101">_xlfn.IFS(A101&gt;=8000,"Achiever",A101&gt;=5000,"Performer",TRUE,"Underpeformer")</f>
        <v>Underpeformer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workbookViewId="0">
      <selection activeCell="E4" sqref="E4"/>
    </sheetView>
  </sheetViews>
  <sheetFormatPr defaultRowHeight="14.5"/>
  <cols>
    <col min="1" max="1" width="8.1796875" bestFit="1" customWidth="1"/>
    <col min="2" max="2" width="6.54296875" bestFit="1" customWidth="1"/>
    <col min="3" max="3" width="12.453125" bestFit="1" customWidth="1"/>
    <col min="7" max="7" width="76.54296875" bestFit="1" customWidth="1"/>
  </cols>
  <sheetData>
    <row r="1" spans="1:7">
      <c r="A1" s="1" t="s">
        <v>5</v>
      </c>
      <c r="B1" s="1" t="s">
        <v>6</v>
      </c>
      <c r="C1" s="22" t="s">
        <v>7</v>
      </c>
      <c r="D1" s="25" t="s">
        <v>2443</v>
      </c>
    </row>
    <row r="2" spans="1:7" ht="23.5">
      <c r="A2">
        <v>51</v>
      </c>
      <c r="B2">
        <v>-2</v>
      </c>
      <c r="C2">
        <f>A2/B2</f>
        <v>-25.5</v>
      </c>
      <c r="D2">
        <f>IFERROR(A2/B2,"Invilid")</f>
        <v>-25.5</v>
      </c>
      <c r="E2">
        <f>COUNTIF(D:D,"Invilid")</f>
        <v>11</v>
      </c>
      <c r="G2" s="10" t="s">
        <v>75</v>
      </c>
    </row>
    <row r="3" spans="1:7">
      <c r="A3">
        <v>94</v>
      </c>
      <c r="B3">
        <v>-3</v>
      </c>
      <c r="C3">
        <f t="shared" ref="C3:C66" si="0">A3/B3</f>
        <v>-31.333333333333332</v>
      </c>
      <c r="D3">
        <f t="shared" ref="D3:D66" si="1">IFERROR(A3/B3,"Invilid")</f>
        <v>-31.333333333333332</v>
      </c>
      <c r="E3" cm="1">
        <f t="array" ref="E3">SUMPRODUCT(--ISERROR(C2:C101))</f>
        <v>11</v>
      </c>
    </row>
    <row r="4" spans="1:7">
      <c r="A4">
        <v>9</v>
      </c>
      <c r="B4">
        <v>4</v>
      </c>
      <c r="C4">
        <f t="shared" si="0"/>
        <v>2.25</v>
      </c>
      <c r="D4">
        <f t="shared" si="1"/>
        <v>2.25</v>
      </c>
      <c r="G4" t="s">
        <v>53</v>
      </c>
    </row>
    <row r="5" spans="1:7">
      <c r="A5">
        <v>18</v>
      </c>
      <c r="B5">
        <v>-1</v>
      </c>
      <c r="C5">
        <f t="shared" si="0"/>
        <v>-18</v>
      </c>
      <c r="D5">
        <f t="shared" si="1"/>
        <v>-18</v>
      </c>
      <c r="G5" s="11"/>
    </row>
    <row r="6" spans="1:7">
      <c r="A6">
        <v>57</v>
      </c>
      <c r="B6">
        <v>-1</v>
      </c>
      <c r="C6">
        <f t="shared" si="0"/>
        <v>-57</v>
      </c>
      <c r="D6">
        <f t="shared" si="1"/>
        <v>-57</v>
      </c>
      <c r="G6" s="11" t="s">
        <v>76</v>
      </c>
    </row>
    <row r="7" spans="1:7">
      <c r="A7">
        <v>95</v>
      </c>
      <c r="B7">
        <v>-3</v>
      </c>
      <c r="C7">
        <f t="shared" si="0"/>
        <v>-31.666666666666668</v>
      </c>
      <c r="D7">
        <f t="shared" si="1"/>
        <v>-31.666666666666668</v>
      </c>
      <c r="G7" s="11"/>
    </row>
    <row r="8" spans="1:7">
      <c r="A8">
        <v>0</v>
      </c>
      <c r="B8">
        <v>3</v>
      </c>
      <c r="C8">
        <f t="shared" si="0"/>
        <v>0</v>
      </c>
      <c r="D8">
        <f t="shared" si="1"/>
        <v>0</v>
      </c>
      <c r="G8" s="11" t="s">
        <v>77</v>
      </c>
    </row>
    <row r="9" spans="1:7">
      <c r="A9">
        <v>68</v>
      </c>
      <c r="B9">
        <v>-2</v>
      </c>
      <c r="C9">
        <f t="shared" si="0"/>
        <v>-34</v>
      </c>
      <c r="D9">
        <f t="shared" si="1"/>
        <v>-34</v>
      </c>
      <c r="G9" s="11"/>
    </row>
    <row r="10" spans="1:7">
      <c r="A10">
        <v>3</v>
      </c>
      <c r="B10">
        <v>5</v>
      </c>
      <c r="C10">
        <f t="shared" si="0"/>
        <v>0.6</v>
      </c>
      <c r="D10">
        <f t="shared" si="1"/>
        <v>0.6</v>
      </c>
      <c r="G10" s="11" t="s">
        <v>78</v>
      </c>
    </row>
    <row r="11" spans="1:7">
      <c r="A11">
        <v>15</v>
      </c>
      <c r="B11">
        <v>-1</v>
      </c>
      <c r="C11">
        <f t="shared" si="0"/>
        <v>-15</v>
      </c>
      <c r="D11">
        <f t="shared" si="1"/>
        <v>-15</v>
      </c>
    </row>
    <row r="12" spans="1:7">
      <c r="A12">
        <v>23</v>
      </c>
      <c r="B12">
        <v>-2</v>
      </c>
      <c r="C12">
        <f t="shared" si="0"/>
        <v>-11.5</v>
      </c>
      <c r="D12">
        <f t="shared" si="1"/>
        <v>-11.5</v>
      </c>
    </row>
    <row r="13" spans="1:7">
      <c r="A13">
        <v>79</v>
      </c>
      <c r="B13">
        <v>-1</v>
      </c>
      <c r="C13">
        <f t="shared" si="0"/>
        <v>-79</v>
      </c>
      <c r="D13">
        <f t="shared" si="1"/>
        <v>-79</v>
      </c>
    </row>
    <row r="14" spans="1:7">
      <c r="A14">
        <v>1</v>
      </c>
      <c r="B14">
        <v>1</v>
      </c>
      <c r="C14">
        <f t="shared" si="0"/>
        <v>1</v>
      </c>
      <c r="D14">
        <f t="shared" si="1"/>
        <v>1</v>
      </c>
    </row>
    <row r="15" spans="1:7">
      <c r="A15">
        <v>91</v>
      </c>
      <c r="B15">
        <v>0</v>
      </c>
      <c r="C15" t="e">
        <f t="shared" si="0"/>
        <v>#DIV/0!</v>
      </c>
      <c r="D15" t="str">
        <f t="shared" si="1"/>
        <v>Invilid</v>
      </c>
    </row>
    <row r="16" spans="1:7">
      <c r="A16">
        <v>31</v>
      </c>
      <c r="B16">
        <v>1</v>
      </c>
      <c r="C16">
        <f t="shared" si="0"/>
        <v>31</v>
      </c>
      <c r="D16">
        <f t="shared" si="1"/>
        <v>31</v>
      </c>
    </row>
    <row r="17" spans="1:4">
      <c r="A17">
        <v>90</v>
      </c>
      <c r="B17">
        <v>-1</v>
      </c>
      <c r="C17">
        <f t="shared" si="0"/>
        <v>-90</v>
      </c>
      <c r="D17">
        <f t="shared" si="1"/>
        <v>-90</v>
      </c>
    </row>
    <row r="18" spans="1:4">
      <c r="A18">
        <v>83</v>
      </c>
      <c r="B18">
        <v>4</v>
      </c>
      <c r="C18">
        <f t="shared" si="0"/>
        <v>20.75</v>
      </c>
      <c r="D18">
        <f t="shared" si="1"/>
        <v>20.75</v>
      </c>
    </row>
    <row r="19" spans="1:4">
      <c r="A19">
        <v>23</v>
      </c>
      <c r="B19">
        <v>4</v>
      </c>
      <c r="C19">
        <f t="shared" si="0"/>
        <v>5.75</v>
      </c>
      <c r="D19">
        <f t="shared" si="1"/>
        <v>5.75</v>
      </c>
    </row>
    <row r="20" spans="1:4">
      <c r="A20">
        <v>11</v>
      </c>
      <c r="B20">
        <v>1</v>
      </c>
      <c r="C20">
        <f t="shared" si="0"/>
        <v>11</v>
      </c>
      <c r="D20">
        <f t="shared" si="1"/>
        <v>11</v>
      </c>
    </row>
    <row r="21" spans="1:4">
      <c r="A21">
        <v>49</v>
      </c>
      <c r="B21">
        <v>4</v>
      </c>
      <c r="C21">
        <f t="shared" si="0"/>
        <v>12.25</v>
      </c>
      <c r="D21">
        <f t="shared" si="1"/>
        <v>12.25</v>
      </c>
    </row>
    <row r="22" spans="1:4">
      <c r="A22">
        <v>34</v>
      </c>
      <c r="B22">
        <v>-1</v>
      </c>
      <c r="C22">
        <f t="shared" si="0"/>
        <v>-34</v>
      </c>
      <c r="D22">
        <f t="shared" si="1"/>
        <v>-34</v>
      </c>
    </row>
    <row r="23" spans="1:4">
      <c r="A23">
        <v>32</v>
      </c>
      <c r="B23">
        <v>-3</v>
      </c>
      <c r="C23">
        <f t="shared" si="0"/>
        <v>-10.666666666666666</v>
      </c>
      <c r="D23">
        <f t="shared" si="1"/>
        <v>-10.666666666666666</v>
      </c>
    </row>
    <row r="24" spans="1:4">
      <c r="A24">
        <v>32</v>
      </c>
      <c r="B24">
        <v>1</v>
      </c>
      <c r="C24">
        <f t="shared" si="0"/>
        <v>32</v>
      </c>
      <c r="D24">
        <f t="shared" si="1"/>
        <v>32</v>
      </c>
    </row>
    <row r="25" spans="1:4">
      <c r="A25">
        <v>60</v>
      </c>
      <c r="B25">
        <v>5</v>
      </c>
      <c r="C25">
        <f t="shared" si="0"/>
        <v>12</v>
      </c>
      <c r="D25">
        <f t="shared" si="1"/>
        <v>12</v>
      </c>
    </row>
    <row r="26" spans="1:4">
      <c r="A26">
        <v>50</v>
      </c>
      <c r="B26">
        <v>5</v>
      </c>
      <c r="C26">
        <f t="shared" si="0"/>
        <v>10</v>
      </c>
      <c r="D26">
        <f t="shared" si="1"/>
        <v>10</v>
      </c>
    </row>
    <row r="27" spans="1:4">
      <c r="A27">
        <v>42</v>
      </c>
      <c r="B27">
        <v>-4</v>
      </c>
      <c r="C27">
        <f t="shared" si="0"/>
        <v>-10.5</v>
      </c>
      <c r="D27">
        <f t="shared" si="1"/>
        <v>-10.5</v>
      </c>
    </row>
    <row r="28" spans="1:4">
      <c r="A28">
        <v>11</v>
      </c>
      <c r="B28">
        <v>3</v>
      </c>
      <c r="C28">
        <f t="shared" si="0"/>
        <v>3.6666666666666665</v>
      </c>
      <c r="D28">
        <f t="shared" si="1"/>
        <v>3.6666666666666665</v>
      </c>
    </row>
    <row r="29" spans="1:4">
      <c r="A29">
        <v>66</v>
      </c>
      <c r="B29">
        <v>4</v>
      </c>
      <c r="C29">
        <f t="shared" si="0"/>
        <v>16.5</v>
      </c>
      <c r="D29">
        <f t="shared" si="1"/>
        <v>16.5</v>
      </c>
    </row>
    <row r="30" spans="1:4">
      <c r="A30">
        <v>64</v>
      </c>
      <c r="B30">
        <v>4</v>
      </c>
      <c r="C30">
        <f t="shared" si="0"/>
        <v>16</v>
      </c>
      <c r="D30">
        <f t="shared" si="1"/>
        <v>16</v>
      </c>
    </row>
    <row r="31" spans="1:4">
      <c r="A31">
        <v>32</v>
      </c>
      <c r="B31">
        <v>-5</v>
      </c>
      <c r="C31">
        <f t="shared" si="0"/>
        <v>-6.4</v>
      </c>
      <c r="D31">
        <f t="shared" si="1"/>
        <v>-6.4</v>
      </c>
    </row>
    <row r="32" spans="1:4">
      <c r="A32">
        <v>39</v>
      </c>
      <c r="B32">
        <v>0</v>
      </c>
      <c r="C32" t="e">
        <f t="shared" si="0"/>
        <v>#DIV/0!</v>
      </c>
      <c r="D32" t="str">
        <f t="shared" si="1"/>
        <v>Invilid</v>
      </c>
    </row>
    <row r="33" spans="1:4">
      <c r="A33">
        <v>73</v>
      </c>
      <c r="B33">
        <v>1</v>
      </c>
      <c r="C33">
        <f t="shared" si="0"/>
        <v>73</v>
      </c>
      <c r="D33">
        <f t="shared" si="1"/>
        <v>73</v>
      </c>
    </row>
    <row r="34" spans="1:4">
      <c r="A34">
        <v>42</v>
      </c>
      <c r="B34">
        <v>2</v>
      </c>
      <c r="C34">
        <f t="shared" si="0"/>
        <v>21</v>
      </c>
      <c r="D34">
        <f t="shared" si="1"/>
        <v>21</v>
      </c>
    </row>
    <row r="35" spans="1:4">
      <c r="A35">
        <v>43</v>
      </c>
      <c r="B35">
        <v>4</v>
      </c>
      <c r="C35">
        <f t="shared" si="0"/>
        <v>10.75</v>
      </c>
      <c r="D35">
        <f t="shared" si="1"/>
        <v>10.75</v>
      </c>
    </row>
    <row r="36" spans="1:4">
      <c r="A36">
        <v>28</v>
      </c>
      <c r="B36">
        <v>3</v>
      </c>
      <c r="C36">
        <f t="shared" si="0"/>
        <v>9.3333333333333339</v>
      </c>
      <c r="D36">
        <f t="shared" si="1"/>
        <v>9.3333333333333339</v>
      </c>
    </row>
    <row r="37" spans="1:4">
      <c r="A37">
        <v>12</v>
      </c>
      <c r="B37">
        <v>-4</v>
      </c>
      <c r="C37">
        <f t="shared" si="0"/>
        <v>-3</v>
      </c>
      <c r="D37">
        <f t="shared" si="1"/>
        <v>-3</v>
      </c>
    </row>
    <row r="38" spans="1:4">
      <c r="A38">
        <v>11</v>
      </c>
      <c r="B38">
        <v>5</v>
      </c>
      <c r="C38">
        <f t="shared" si="0"/>
        <v>2.2000000000000002</v>
      </c>
      <c r="D38">
        <f t="shared" si="1"/>
        <v>2.2000000000000002</v>
      </c>
    </row>
    <row r="39" spans="1:4">
      <c r="A39">
        <v>94</v>
      </c>
      <c r="B39">
        <v>4</v>
      </c>
      <c r="C39">
        <f t="shared" si="0"/>
        <v>23.5</v>
      </c>
      <c r="D39">
        <f t="shared" si="1"/>
        <v>23.5</v>
      </c>
    </row>
    <row r="40" spans="1:4">
      <c r="A40">
        <v>45</v>
      </c>
      <c r="B40">
        <v>-4</v>
      </c>
      <c r="C40">
        <f t="shared" si="0"/>
        <v>-11.25</v>
      </c>
      <c r="D40">
        <f t="shared" si="1"/>
        <v>-11.25</v>
      </c>
    </row>
    <row r="41" spans="1:4">
      <c r="A41">
        <v>1</v>
      </c>
      <c r="B41">
        <v>-1</v>
      </c>
      <c r="C41">
        <f t="shared" si="0"/>
        <v>-1</v>
      </c>
      <c r="D41">
        <f t="shared" si="1"/>
        <v>-1</v>
      </c>
    </row>
    <row r="42" spans="1:4">
      <c r="A42">
        <v>34</v>
      </c>
      <c r="B42">
        <v>-1</v>
      </c>
      <c r="C42">
        <f t="shared" si="0"/>
        <v>-34</v>
      </c>
      <c r="D42">
        <f t="shared" si="1"/>
        <v>-34</v>
      </c>
    </row>
    <row r="43" spans="1:4">
      <c r="A43">
        <v>86</v>
      </c>
      <c r="B43">
        <v>0</v>
      </c>
      <c r="C43" t="e">
        <f t="shared" si="0"/>
        <v>#DIV/0!</v>
      </c>
      <c r="D43" t="str">
        <f t="shared" si="1"/>
        <v>Invilid</v>
      </c>
    </row>
    <row r="44" spans="1:4">
      <c r="A44">
        <v>80</v>
      </c>
      <c r="B44">
        <v>-3</v>
      </c>
      <c r="C44">
        <f t="shared" si="0"/>
        <v>-26.666666666666668</v>
      </c>
      <c r="D44">
        <f t="shared" si="1"/>
        <v>-26.666666666666668</v>
      </c>
    </row>
    <row r="45" spans="1:4">
      <c r="A45">
        <v>89</v>
      </c>
      <c r="B45">
        <v>2</v>
      </c>
      <c r="C45">
        <f t="shared" si="0"/>
        <v>44.5</v>
      </c>
      <c r="D45">
        <f t="shared" si="1"/>
        <v>44.5</v>
      </c>
    </row>
    <row r="46" spans="1:4">
      <c r="A46">
        <v>7</v>
      </c>
      <c r="B46">
        <v>-5</v>
      </c>
      <c r="C46">
        <f t="shared" si="0"/>
        <v>-1.4</v>
      </c>
      <c r="D46">
        <f t="shared" si="1"/>
        <v>-1.4</v>
      </c>
    </row>
    <row r="47" spans="1:4">
      <c r="A47">
        <v>92</v>
      </c>
      <c r="B47">
        <v>0</v>
      </c>
      <c r="C47" t="e">
        <f t="shared" si="0"/>
        <v>#DIV/0!</v>
      </c>
      <c r="D47" t="str">
        <f t="shared" si="1"/>
        <v>Invilid</v>
      </c>
    </row>
    <row r="48" spans="1:4">
      <c r="A48">
        <v>25</v>
      </c>
      <c r="B48">
        <v>-2</v>
      </c>
      <c r="C48">
        <f t="shared" si="0"/>
        <v>-12.5</v>
      </c>
      <c r="D48">
        <f t="shared" si="1"/>
        <v>-12.5</v>
      </c>
    </row>
    <row r="49" spans="1:4">
      <c r="A49">
        <v>73</v>
      </c>
      <c r="B49">
        <v>-5</v>
      </c>
      <c r="C49">
        <f t="shared" si="0"/>
        <v>-14.6</v>
      </c>
      <c r="D49">
        <f t="shared" si="1"/>
        <v>-14.6</v>
      </c>
    </row>
    <row r="50" spans="1:4">
      <c r="A50">
        <v>89</v>
      </c>
      <c r="B50">
        <v>1</v>
      </c>
      <c r="C50">
        <f t="shared" si="0"/>
        <v>89</v>
      </c>
      <c r="D50">
        <f t="shared" si="1"/>
        <v>89</v>
      </c>
    </row>
    <row r="51" spans="1:4">
      <c r="A51">
        <v>33</v>
      </c>
      <c r="B51">
        <v>3</v>
      </c>
      <c r="C51">
        <f t="shared" si="0"/>
        <v>11</v>
      </c>
      <c r="D51">
        <f t="shared" si="1"/>
        <v>11</v>
      </c>
    </row>
    <row r="52" spans="1:4">
      <c r="A52">
        <v>6</v>
      </c>
      <c r="B52">
        <v>-2</v>
      </c>
      <c r="C52">
        <f t="shared" si="0"/>
        <v>-3</v>
      </c>
      <c r="D52">
        <f t="shared" si="1"/>
        <v>-3</v>
      </c>
    </row>
    <row r="53" spans="1:4">
      <c r="A53">
        <v>67</v>
      </c>
      <c r="B53">
        <v>-2</v>
      </c>
      <c r="C53">
        <f t="shared" si="0"/>
        <v>-33.5</v>
      </c>
      <c r="D53">
        <f t="shared" si="1"/>
        <v>-33.5</v>
      </c>
    </row>
    <row r="54" spans="1:4">
      <c r="A54">
        <v>57</v>
      </c>
      <c r="B54">
        <v>0</v>
      </c>
      <c r="C54" t="e">
        <f t="shared" si="0"/>
        <v>#DIV/0!</v>
      </c>
      <c r="D54" t="str">
        <f t="shared" si="1"/>
        <v>Invilid</v>
      </c>
    </row>
    <row r="55" spans="1:4">
      <c r="A55">
        <v>74</v>
      </c>
      <c r="B55">
        <v>-3</v>
      </c>
      <c r="C55">
        <f t="shared" si="0"/>
        <v>-24.666666666666668</v>
      </c>
      <c r="D55">
        <f t="shared" si="1"/>
        <v>-24.666666666666668</v>
      </c>
    </row>
    <row r="56" spans="1:4">
      <c r="A56">
        <v>28</v>
      </c>
      <c r="B56">
        <v>0</v>
      </c>
      <c r="C56" t="e">
        <f t="shared" si="0"/>
        <v>#DIV/0!</v>
      </c>
      <c r="D56" t="str">
        <f t="shared" si="1"/>
        <v>Invilid</v>
      </c>
    </row>
    <row r="57" spans="1:4">
      <c r="A57">
        <v>35</v>
      </c>
      <c r="B57">
        <v>1</v>
      </c>
      <c r="C57">
        <f t="shared" si="0"/>
        <v>35</v>
      </c>
      <c r="D57">
        <f t="shared" si="1"/>
        <v>35</v>
      </c>
    </row>
    <row r="58" spans="1:4">
      <c r="A58">
        <v>88</v>
      </c>
      <c r="B58">
        <v>5</v>
      </c>
      <c r="C58">
        <f t="shared" si="0"/>
        <v>17.600000000000001</v>
      </c>
      <c r="D58">
        <f t="shared" si="1"/>
        <v>17.600000000000001</v>
      </c>
    </row>
    <row r="59" spans="1:4">
      <c r="A59">
        <v>20</v>
      </c>
      <c r="B59">
        <v>4</v>
      </c>
      <c r="C59">
        <f t="shared" si="0"/>
        <v>5</v>
      </c>
      <c r="D59">
        <f t="shared" si="1"/>
        <v>5</v>
      </c>
    </row>
    <row r="60" spans="1:4">
      <c r="A60">
        <v>35</v>
      </c>
      <c r="B60">
        <v>4</v>
      </c>
      <c r="C60">
        <f t="shared" si="0"/>
        <v>8.75</v>
      </c>
      <c r="D60">
        <f t="shared" si="1"/>
        <v>8.75</v>
      </c>
    </row>
    <row r="61" spans="1:4">
      <c r="A61">
        <v>9</v>
      </c>
      <c r="B61">
        <v>-3</v>
      </c>
      <c r="C61">
        <f t="shared" si="0"/>
        <v>-3</v>
      </c>
      <c r="D61">
        <f t="shared" si="1"/>
        <v>-3</v>
      </c>
    </row>
    <row r="62" spans="1:4">
      <c r="A62">
        <v>72</v>
      </c>
      <c r="B62">
        <v>1</v>
      </c>
      <c r="C62">
        <f t="shared" si="0"/>
        <v>72</v>
      </c>
      <c r="D62">
        <f t="shared" si="1"/>
        <v>72</v>
      </c>
    </row>
    <row r="63" spans="1:4">
      <c r="A63">
        <v>23</v>
      </c>
      <c r="B63">
        <v>-3</v>
      </c>
      <c r="C63">
        <f t="shared" si="0"/>
        <v>-7.666666666666667</v>
      </c>
      <c r="D63">
        <f t="shared" si="1"/>
        <v>-7.666666666666667</v>
      </c>
    </row>
    <row r="64" spans="1:4">
      <c r="A64">
        <v>63</v>
      </c>
      <c r="B64">
        <v>-4</v>
      </c>
      <c r="C64">
        <f t="shared" si="0"/>
        <v>-15.75</v>
      </c>
      <c r="D64">
        <f t="shared" si="1"/>
        <v>-15.75</v>
      </c>
    </row>
    <row r="65" spans="1:4">
      <c r="A65">
        <v>98</v>
      </c>
      <c r="B65">
        <v>4</v>
      </c>
      <c r="C65">
        <f t="shared" si="0"/>
        <v>24.5</v>
      </c>
      <c r="D65">
        <f t="shared" si="1"/>
        <v>24.5</v>
      </c>
    </row>
    <row r="66" spans="1:4">
      <c r="A66">
        <v>48</v>
      </c>
      <c r="B66">
        <v>-2</v>
      </c>
      <c r="C66">
        <f t="shared" si="0"/>
        <v>-24</v>
      </c>
      <c r="D66">
        <f t="shared" si="1"/>
        <v>-24</v>
      </c>
    </row>
    <row r="67" spans="1:4">
      <c r="A67">
        <v>98</v>
      </c>
      <c r="B67">
        <v>2</v>
      </c>
      <c r="C67">
        <f t="shared" ref="C67:C101" si="2">A67/B67</f>
        <v>49</v>
      </c>
      <c r="D67">
        <f t="shared" ref="D67:D101" si="3">IFERROR(A67/B67,"Invilid")</f>
        <v>49</v>
      </c>
    </row>
    <row r="68" spans="1:4">
      <c r="A68">
        <v>35</v>
      </c>
      <c r="B68">
        <v>3</v>
      </c>
      <c r="C68">
        <f t="shared" si="2"/>
        <v>11.666666666666666</v>
      </c>
      <c r="D68">
        <f t="shared" si="3"/>
        <v>11.666666666666666</v>
      </c>
    </row>
    <row r="69" spans="1:4">
      <c r="A69">
        <v>81</v>
      </c>
      <c r="B69">
        <v>1</v>
      </c>
      <c r="C69">
        <f t="shared" si="2"/>
        <v>81</v>
      </c>
      <c r="D69">
        <f t="shared" si="3"/>
        <v>81</v>
      </c>
    </row>
    <row r="70" spans="1:4">
      <c r="A70">
        <v>95</v>
      </c>
      <c r="B70">
        <v>-5</v>
      </c>
      <c r="C70">
        <f t="shared" si="2"/>
        <v>-19</v>
      </c>
      <c r="D70">
        <f t="shared" si="3"/>
        <v>-19</v>
      </c>
    </row>
    <row r="71" spans="1:4">
      <c r="A71">
        <v>23</v>
      </c>
      <c r="B71">
        <v>-3</v>
      </c>
      <c r="C71">
        <f t="shared" si="2"/>
        <v>-7.666666666666667</v>
      </c>
      <c r="D71">
        <f t="shared" si="3"/>
        <v>-7.666666666666667</v>
      </c>
    </row>
    <row r="72" spans="1:4">
      <c r="A72">
        <v>22</v>
      </c>
      <c r="B72">
        <v>3</v>
      </c>
      <c r="C72">
        <f t="shared" si="2"/>
        <v>7.333333333333333</v>
      </c>
      <c r="D72">
        <f t="shared" si="3"/>
        <v>7.333333333333333</v>
      </c>
    </row>
    <row r="73" spans="1:4">
      <c r="A73">
        <v>61</v>
      </c>
      <c r="B73">
        <v>-5</v>
      </c>
      <c r="C73">
        <f t="shared" si="2"/>
        <v>-12.2</v>
      </c>
      <c r="D73">
        <f t="shared" si="3"/>
        <v>-12.2</v>
      </c>
    </row>
    <row r="74" spans="1:4">
      <c r="A74">
        <v>95</v>
      </c>
      <c r="B74">
        <v>3</v>
      </c>
      <c r="C74">
        <f t="shared" si="2"/>
        <v>31.666666666666668</v>
      </c>
      <c r="D74">
        <f t="shared" si="3"/>
        <v>31.666666666666668</v>
      </c>
    </row>
    <row r="75" spans="1:4">
      <c r="A75">
        <v>36</v>
      </c>
      <c r="B75">
        <v>2</v>
      </c>
      <c r="C75">
        <f t="shared" si="2"/>
        <v>18</v>
      </c>
      <c r="D75">
        <f t="shared" si="3"/>
        <v>18</v>
      </c>
    </row>
    <row r="76" spans="1:4">
      <c r="A76">
        <v>11</v>
      </c>
      <c r="B76">
        <v>-5</v>
      </c>
      <c r="C76">
        <f t="shared" si="2"/>
        <v>-2.2000000000000002</v>
      </c>
      <c r="D76">
        <f t="shared" si="3"/>
        <v>-2.2000000000000002</v>
      </c>
    </row>
    <row r="77" spans="1:4">
      <c r="A77">
        <v>54</v>
      </c>
      <c r="B77">
        <v>0</v>
      </c>
      <c r="C77" t="e">
        <f t="shared" si="2"/>
        <v>#DIV/0!</v>
      </c>
      <c r="D77" t="str">
        <f t="shared" si="3"/>
        <v>Invilid</v>
      </c>
    </row>
    <row r="78" spans="1:4">
      <c r="A78">
        <v>12</v>
      </c>
      <c r="B78">
        <v>-1</v>
      </c>
      <c r="C78">
        <f t="shared" si="2"/>
        <v>-12</v>
      </c>
      <c r="D78">
        <f t="shared" si="3"/>
        <v>-12</v>
      </c>
    </row>
    <row r="79" spans="1:4">
      <c r="A79">
        <v>22</v>
      </c>
      <c r="B79">
        <v>0</v>
      </c>
      <c r="C79" t="e">
        <f t="shared" si="2"/>
        <v>#DIV/0!</v>
      </c>
      <c r="D79" t="str">
        <f t="shared" si="3"/>
        <v>Invilid</v>
      </c>
    </row>
    <row r="80" spans="1:4">
      <c r="A80">
        <v>88</v>
      </c>
      <c r="B80">
        <v>4</v>
      </c>
      <c r="C80">
        <f t="shared" si="2"/>
        <v>22</v>
      </c>
      <c r="D80">
        <f t="shared" si="3"/>
        <v>22</v>
      </c>
    </row>
    <row r="81" spans="1:4">
      <c r="A81">
        <v>98</v>
      </c>
      <c r="B81">
        <v>-1</v>
      </c>
      <c r="C81">
        <f t="shared" si="2"/>
        <v>-98</v>
      </c>
      <c r="D81">
        <f t="shared" si="3"/>
        <v>-98</v>
      </c>
    </row>
    <row r="82" spans="1:4">
      <c r="A82">
        <v>29</v>
      </c>
      <c r="B82">
        <v>0</v>
      </c>
      <c r="C82" t="e">
        <f t="shared" si="2"/>
        <v>#DIV/0!</v>
      </c>
      <c r="D82" t="str">
        <f t="shared" si="3"/>
        <v>Invilid</v>
      </c>
    </row>
    <row r="83" spans="1:4">
      <c r="A83">
        <v>16</v>
      </c>
      <c r="B83">
        <v>-1</v>
      </c>
      <c r="C83">
        <f t="shared" si="2"/>
        <v>-16</v>
      </c>
      <c r="D83">
        <f t="shared" si="3"/>
        <v>-16</v>
      </c>
    </row>
    <row r="84" spans="1:4">
      <c r="A84">
        <v>61</v>
      </c>
      <c r="B84">
        <v>5</v>
      </c>
      <c r="C84">
        <f t="shared" si="2"/>
        <v>12.2</v>
      </c>
      <c r="D84">
        <f t="shared" si="3"/>
        <v>12.2</v>
      </c>
    </row>
    <row r="85" spans="1:4">
      <c r="A85">
        <v>83</v>
      </c>
      <c r="B85">
        <v>-1</v>
      </c>
      <c r="C85">
        <f t="shared" si="2"/>
        <v>-83</v>
      </c>
      <c r="D85">
        <f t="shared" si="3"/>
        <v>-83</v>
      </c>
    </row>
    <row r="86" spans="1:4">
      <c r="A86">
        <v>88</v>
      </c>
      <c r="B86">
        <v>-2</v>
      </c>
      <c r="C86">
        <f t="shared" si="2"/>
        <v>-44</v>
      </c>
      <c r="D86">
        <f t="shared" si="3"/>
        <v>-44</v>
      </c>
    </row>
    <row r="87" spans="1:4">
      <c r="A87">
        <v>85</v>
      </c>
      <c r="B87">
        <v>-3</v>
      </c>
      <c r="C87">
        <f t="shared" si="2"/>
        <v>-28.333333333333332</v>
      </c>
      <c r="D87">
        <f t="shared" si="3"/>
        <v>-28.333333333333332</v>
      </c>
    </row>
    <row r="88" spans="1:4">
      <c r="A88">
        <v>12</v>
      </c>
      <c r="B88">
        <v>-3</v>
      </c>
      <c r="C88">
        <f t="shared" si="2"/>
        <v>-4</v>
      </c>
      <c r="D88">
        <f t="shared" si="3"/>
        <v>-4</v>
      </c>
    </row>
    <row r="89" spans="1:4">
      <c r="A89">
        <v>58</v>
      </c>
      <c r="B89">
        <v>-2</v>
      </c>
      <c r="C89">
        <f t="shared" si="2"/>
        <v>-29</v>
      </c>
      <c r="D89">
        <f t="shared" si="3"/>
        <v>-29</v>
      </c>
    </row>
    <row r="90" spans="1:4">
      <c r="A90">
        <v>18</v>
      </c>
      <c r="B90">
        <v>3</v>
      </c>
      <c r="C90">
        <f t="shared" si="2"/>
        <v>6</v>
      </c>
      <c r="D90">
        <f t="shared" si="3"/>
        <v>6</v>
      </c>
    </row>
    <row r="91" spans="1:4">
      <c r="A91">
        <v>48</v>
      </c>
      <c r="B91">
        <v>-4</v>
      </c>
      <c r="C91">
        <f t="shared" si="2"/>
        <v>-12</v>
      </c>
      <c r="D91">
        <f t="shared" si="3"/>
        <v>-12</v>
      </c>
    </row>
    <row r="92" spans="1:4">
      <c r="A92">
        <v>99</v>
      </c>
      <c r="B92">
        <v>3</v>
      </c>
      <c r="C92">
        <f t="shared" si="2"/>
        <v>33</v>
      </c>
      <c r="D92">
        <f t="shared" si="3"/>
        <v>33</v>
      </c>
    </row>
    <row r="93" spans="1:4">
      <c r="A93">
        <v>11</v>
      </c>
      <c r="B93">
        <v>-5</v>
      </c>
      <c r="C93">
        <f t="shared" si="2"/>
        <v>-2.2000000000000002</v>
      </c>
      <c r="D93">
        <f t="shared" si="3"/>
        <v>-2.2000000000000002</v>
      </c>
    </row>
    <row r="94" spans="1:4">
      <c r="A94">
        <v>60</v>
      </c>
      <c r="B94">
        <v>-5</v>
      </c>
      <c r="C94">
        <f t="shared" si="2"/>
        <v>-12</v>
      </c>
      <c r="D94">
        <f t="shared" si="3"/>
        <v>-12</v>
      </c>
    </row>
    <row r="95" spans="1:4">
      <c r="A95">
        <v>18</v>
      </c>
      <c r="B95">
        <v>-1</v>
      </c>
      <c r="C95">
        <f t="shared" si="2"/>
        <v>-18</v>
      </c>
      <c r="D95">
        <f t="shared" si="3"/>
        <v>-18</v>
      </c>
    </row>
    <row r="96" spans="1:4">
      <c r="A96">
        <v>75</v>
      </c>
      <c r="B96">
        <v>0</v>
      </c>
      <c r="C96" t="e">
        <f t="shared" si="2"/>
        <v>#DIV/0!</v>
      </c>
      <c r="D96" t="str">
        <f t="shared" si="3"/>
        <v>Invilid</v>
      </c>
    </row>
    <row r="97" spans="1:4">
      <c r="A97">
        <v>8</v>
      </c>
      <c r="B97">
        <v>0</v>
      </c>
      <c r="C97" t="e">
        <f t="shared" si="2"/>
        <v>#DIV/0!</v>
      </c>
      <c r="D97" t="str">
        <f t="shared" si="3"/>
        <v>Invilid</v>
      </c>
    </row>
    <row r="98" spans="1:4">
      <c r="A98">
        <v>70</v>
      </c>
      <c r="B98">
        <v>-3</v>
      </c>
      <c r="C98">
        <f t="shared" si="2"/>
        <v>-23.333333333333332</v>
      </c>
      <c r="D98">
        <f t="shared" si="3"/>
        <v>-23.333333333333332</v>
      </c>
    </row>
    <row r="99" spans="1:4">
      <c r="A99">
        <v>27</v>
      </c>
      <c r="B99">
        <v>1</v>
      </c>
      <c r="C99">
        <f t="shared" si="2"/>
        <v>27</v>
      </c>
      <c r="D99">
        <f t="shared" si="3"/>
        <v>27</v>
      </c>
    </row>
    <row r="100" spans="1:4">
      <c r="A100">
        <v>77</v>
      </c>
      <c r="B100">
        <v>3</v>
      </c>
      <c r="C100">
        <f t="shared" si="2"/>
        <v>25.666666666666668</v>
      </c>
      <c r="D100">
        <f t="shared" si="3"/>
        <v>25.666666666666668</v>
      </c>
    </row>
    <row r="101" spans="1:4">
      <c r="A101">
        <v>94</v>
      </c>
      <c r="B101">
        <v>5</v>
      </c>
      <c r="C101">
        <f t="shared" si="2"/>
        <v>18.8</v>
      </c>
      <c r="D101">
        <f t="shared" si="3"/>
        <v>18.8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CD87-729C-4987-8E60-CA7A7C9FA467}">
  <dimension ref="A1:K12"/>
  <sheetViews>
    <sheetView topLeftCell="A4" workbookViewId="0">
      <selection activeCell="I6" sqref="I6"/>
    </sheetView>
  </sheetViews>
  <sheetFormatPr defaultRowHeight="14.5"/>
  <cols>
    <col min="1" max="5" width="10.6328125" customWidth="1"/>
    <col min="6" max="6" width="6.81640625" bestFit="1" customWidth="1"/>
    <col min="7" max="7" width="15.08984375" bestFit="1" customWidth="1"/>
    <col min="8" max="8" width="19" bestFit="1" customWidth="1"/>
    <col min="9" max="9" width="19" customWidth="1"/>
    <col min="11" max="11" width="10.1796875" bestFit="1" customWidth="1"/>
  </cols>
  <sheetData>
    <row r="1" spans="1:11">
      <c r="A1" s="2" t="s">
        <v>8</v>
      </c>
      <c r="B1" s="2" t="s">
        <v>9</v>
      </c>
      <c r="C1" s="3" t="s">
        <v>10</v>
      </c>
      <c r="D1" s="2" t="s">
        <v>11</v>
      </c>
      <c r="E1" s="4" t="s">
        <v>12</v>
      </c>
      <c r="F1" s="2" t="s">
        <v>13</v>
      </c>
      <c r="G1" s="2" t="s">
        <v>2437</v>
      </c>
      <c r="H1" s="2" t="s">
        <v>14</v>
      </c>
      <c r="I1" s="2"/>
    </row>
    <row r="2" spans="1:11">
      <c r="A2" t="s">
        <v>15</v>
      </c>
      <c r="B2" t="s">
        <v>16</v>
      </c>
      <c r="C2" s="5" t="s">
        <v>17</v>
      </c>
      <c r="D2">
        <v>21</v>
      </c>
      <c r="E2" s="6">
        <v>50000</v>
      </c>
      <c r="F2">
        <v>100000</v>
      </c>
      <c r="G2" t="str">
        <f>IF(F2&gt;=45000,"Complete","Incomplete")</f>
        <v>Complete</v>
      </c>
      <c r="H2" cm="1">
        <f t="array" ref="H2">_xlfn.IFS(F2&gt;50000,F2*20%,F2&gt;40000,F2*15%,TRUE,F2*10%)</f>
        <v>20000</v>
      </c>
    </row>
    <row r="3" spans="1:11">
      <c r="A3" t="s">
        <v>18</v>
      </c>
      <c r="B3" t="s">
        <v>19</v>
      </c>
      <c r="C3" s="5" t="s">
        <v>20</v>
      </c>
      <c r="D3">
        <v>34</v>
      </c>
      <c r="E3" s="6">
        <v>50000</v>
      </c>
      <c r="F3">
        <v>52455</v>
      </c>
      <c r="G3" t="str">
        <f t="shared" ref="G3:G11" si="0">IF(F3&gt;=45000,"Complete","Incomplete")</f>
        <v>Complete</v>
      </c>
      <c r="H3" cm="1">
        <f t="array" ref="H3">_xlfn.IFS(F3&gt;50000,F3*20%,F3&gt;40000,F3*15%,TRUE,F3*10%)</f>
        <v>10491</v>
      </c>
      <c r="J3" s="21" t="s">
        <v>21</v>
      </c>
      <c r="K3" s="21"/>
    </row>
    <row r="4" spans="1:11">
      <c r="A4" t="s">
        <v>22</v>
      </c>
      <c r="B4" t="s">
        <v>23</v>
      </c>
      <c r="C4" s="5" t="s">
        <v>4</v>
      </c>
      <c r="D4">
        <v>23</v>
      </c>
      <c r="E4" s="6">
        <v>23000</v>
      </c>
      <c r="F4">
        <v>57040</v>
      </c>
      <c r="G4" t="str">
        <f t="shared" si="0"/>
        <v>Complete</v>
      </c>
      <c r="H4" cm="1">
        <f t="array" ref="H4">_xlfn.IFS(F4&gt;50000,F4*20%,F4&gt;40000,F4*15%,TRUE,F4*10%)</f>
        <v>11408</v>
      </c>
      <c r="J4" t="s">
        <v>24</v>
      </c>
      <c r="K4" t="s">
        <v>25</v>
      </c>
    </row>
    <row r="5" spans="1:11">
      <c r="A5" t="s">
        <v>26</v>
      </c>
      <c r="B5" t="s">
        <v>27</v>
      </c>
      <c r="C5" s="5" t="s">
        <v>17</v>
      </c>
      <c r="D5">
        <v>43</v>
      </c>
      <c r="E5" s="6">
        <v>34000</v>
      </c>
      <c r="F5">
        <v>36777</v>
      </c>
      <c r="G5" t="str">
        <f t="shared" si="0"/>
        <v>Incomplete</v>
      </c>
      <c r="H5" cm="1">
        <f t="array" ref="H5">_xlfn.IFS(F5&gt;50000,F5*20%,F5&gt;40000,F5*15%,TRUE,F5*10%)</f>
        <v>3677.7000000000003</v>
      </c>
      <c r="J5" t="s">
        <v>28</v>
      </c>
      <c r="K5" t="s">
        <v>29</v>
      </c>
    </row>
    <row r="6" spans="1:11">
      <c r="A6" t="s">
        <v>30</v>
      </c>
      <c r="B6" t="s">
        <v>31</v>
      </c>
      <c r="C6" s="5" t="s">
        <v>4</v>
      </c>
      <c r="D6">
        <v>54</v>
      </c>
      <c r="E6" s="6">
        <v>32000</v>
      </c>
      <c r="F6">
        <v>75000</v>
      </c>
      <c r="G6" t="str">
        <f t="shared" si="0"/>
        <v>Complete</v>
      </c>
      <c r="H6" cm="1">
        <f t="array" ref="H6">_xlfn.IFS(F6&gt;50000,F6*20%,F6&gt;40000,F6*15%,TRUE,F6*10%)</f>
        <v>15000</v>
      </c>
    </row>
    <row r="7" spans="1:11">
      <c r="A7" t="s">
        <v>32</v>
      </c>
      <c r="B7" t="s">
        <v>33</v>
      </c>
      <c r="C7" s="5" t="s">
        <v>34</v>
      </c>
      <c r="D7">
        <v>40</v>
      </c>
      <c r="E7" s="6">
        <v>43000</v>
      </c>
      <c r="F7">
        <v>55717</v>
      </c>
      <c r="G7" t="str">
        <f t="shared" si="0"/>
        <v>Complete</v>
      </c>
      <c r="H7" cm="1">
        <f t="array" ref="H7">_xlfn.IFS(F7&gt;50000,F7*20%,F7&gt;40000,F7*15%,TRUE,F7*10%)</f>
        <v>11143.400000000001</v>
      </c>
    </row>
    <row r="8" spans="1:11">
      <c r="A8" t="s">
        <v>35</v>
      </c>
      <c r="B8" t="s">
        <v>36</v>
      </c>
      <c r="C8" s="5" t="s">
        <v>4</v>
      </c>
      <c r="D8">
        <v>32</v>
      </c>
      <c r="E8" s="6">
        <v>23000</v>
      </c>
      <c r="F8">
        <v>49807</v>
      </c>
      <c r="G8" t="str">
        <f t="shared" si="0"/>
        <v>Complete</v>
      </c>
      <c r="H8" cm="1">
        <f t="array" ref="H8">_xlfn.IFS(F8&gt;50000,F8*20%,F8&gt;40000,F8*15%,TRUE,F8*10%)</f>
        <v>7471.0499999999993</v>
      </c>
      <c r="J8" s="21" t="s">
        <v>14</v>
      </c>
      <c r="K8" s="21"/>
    </row>
    <row r="9" spans="1:11">
      <c r="A9" t="s">
        <v>37</v>
      </c>
      <c r="B9" t="s">
        <v>38</v>
      </c>
      <c r="C9" s="5" t="s">
        <v>34</v>
      </c>
      <c r="D9" s="7">
        <v>23</v>
      </c>
      <c r="E9" s="6">
        <v>40000</v>
      </c>
      <c r="F9">
        <v>55516</v>
      </c>
      <c r="G9" t="str">
        <f t="shared" si="0"/>
        <v>Complete</v>
      </c>
      <c r="H9" cm="1">
        <f t="array" ref="H9">_xlfn.IFS(F9&gt;50000,F9*20%,F9&gt;40000,F9*15%,TRUE,F9*10%)</f>
        <v>11103.2</v>
      </c>
      <c r="J9" t="s">
        <v>4</v>
      </c>
      <c r="K9" t="s">
        <v>39</v>
      </c>
    </row>
    <row r="10" spans="1:11">
      <c r="A10" t="s">
        <v>40</v>
      </c>
      <c r="B10" t="s">
        <v>41</v>
      </c>
      <c r="C10" s="5" t="s">
        <v>20</v>
      </c>
      <c r="D10">
        <v>32</v>
      </c>
      <c r="E10" s="6">
        <v>43000</v>
      </c>
      <c r="F10">
        <v>40000</v>
      </c>
      <c r="G10" t="str">
        <f t="shared" si="0"/>
        <v>Incomplete</v>
      </c>
      <c r="H10" cm="1">
        <f t="array" ref="H10">_xlfn.IFS(F10&gt;50000,F10*20%,F10&gt;40000,F10*15%,TRUE,F10*10%)</f>
        <v>4000</v>
      </c>
      <c r="J10" t="s">
        <v>42</v>
      </c>
      <c r="K10" s="8">
        <v>0.2</v>
      </c>
    </row>
    <row r="11" spans="1:11">
      <c r="A11" t="s">
        <v>43</v>
      </c>
      <c r="B11" t="s">
        <v>44</v>
      </c>
      <c r="C11" s="5" t="s">
        <v>20</v>
      </c>
      <c r="D11">
        <v>43</v>
      </c>
      <c r="E11" s="6">
        <v>37000</v>
      </c>
      <c r="F11">
        <v>50000</v>
      </c>
      <c r="G11" t="str">
        <f t="shared" si="0"/>
        <v>Complete</v>
      </c>
      <c r="H11" cm="1">
        <f t="array" ref="H11">_xlfn.IFS(F11&gt;50000,F11*20%,F11&gt;40000,F11*15%,TRUE,F11*10%)</f>
        <v>7500</v>
      </c>
      <c r="J11" t="s">
        <v>45</v>
      </c>
      <c r="K11" s="8">
        <v>0.15</v>
      </c>
    </row>
    <row r="12" spans="1:11">
      <c r="J12" t="s">
        <v>46</v>
      </c>
      <c r="K12" s="8">
        <v>0.1</v>
      </c>
    </row>
  </sheetData>
  <mergeCells count="2">
    <mergeCell ref="J3:K3"/>
    <mergeCell ref="J8:K8"/>
  </mergeCells>
  <conditionalFormatting sqref="A2:E11">
    <cfRule type="expression" dxfId="0" priority="1">
      <formula>$C2=$F$2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105C-474A-454C-AD56-11653F5C0CFF}">
  <dimension ref="A1:M1001"/>
  <sheetViews>
    <sheetView tabSelected="1" workbookViewId="0">
      <selection activeCell="B1" sqref="B1:B1048576"/>
    </sheetView>
  </sheetViews>
  <sheetFormatPr defaultRowHeight="14.5"/>
  <cols>
    <col min="1" max="1" width="7.36328125" bestFit="1" customWidth="1"/>
    <col min="13" max="13" width="255.6328125" bestFit="1" customWidth="1"/>
  </cols>
  <sheetData>
    <row r="1" spans="1:13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</row>
    <row r="2" spans="1:13">
      <c r="A2">
        <v>100001</v>
      </c>
      <c r="B2" t="s">
        <v>91</v>
      </c>
      <c r="C2" t="s">
        <v>92</v>
      </c>
      <c r="D2">
        <v>75000</v>
      </c>
      <c r="E2">
        <v>137502</v>
      </c>
      <c r="F2">
        <v>23</v>
      </c>
      <c r="G2">
        <v>3.4</v>
      </c>
      <c r="H2">
        <v>15</v>
      </c>
      <c r="I2" t="s">
        <v>93</v>
      </c>
    </row>
    <row r="3" spans="1:13">
      <c r="A3">
        <v>100002</v>
      </c>
      <c r="B3" t="s">
        <v>94</v>
      </c>
      <c r="C3" t="s">
        <v>95</v>
      </c>
      <c r="D3">
        <v>100000</v>
      </c>
      <c r="E3">
        <v>172562</v>
      </c>
      <c r="F3">
        <v>25</v>
      </c>
      <c r="G3">
        <v>3.3</v>
      </c>
      <c r="H3">
        <v>6</v>
      </c>
      <c r="I3" t="s">
        <v>93</v>
      </c>
      <c r="M3" s="14" t="s">
        <v>96</v>
      </c>
    </row>
    <row r="4" spans="1:13">
      <c r="A4">
        <v>100003</v>
      </c>
      <c r="B4" t="s">
        <v>97</v>
      </c>
      <c r="C4" t="s">
        <v>95</v>
      </c>
      <c r="D4">
        <v>150000</v>
      </c>
      <c r="E4">
        <v>85734</v>
      </c>
      <c r="F4">
        <v>28</v>
      </c>
      <c r="G4">
        <v>4.9000000000000004</v>
      </c>
      <c r="H4">
        <v>11</v>
      </c>
      <c r="I4" t="s">
        <v>93</v>
      </c>
      <c r="M4" s="11"/>
    </row>
    <row r="5" spans="1:13">
      <c r="A5">
        <v>100004</v>
      </c>
      <c r="B5" t="s">
        <v>98</v>
      </c>
      <c r="C5" t="s">
        <v>95</v>
      </c>
      <c r="D5">
        <v>100000</v>
      </c>
      <c r="E5">
        <v>132316</v>
      </c>
      <c r="F5">
        <v>25</v>
      </c>
      <c r="G5">
        <v>2.7</v>
      </c>
      <c r="H5">
        <v>6</v>
      </c>
      <c r="I5" t="s">
        <v>93</v>
      </c>
      <c r="M5" s="15" t="s">
        <v>99</v>
      </c>
    </row>
    <row r="6" spans="1:13">
      <c r="A6">
        <v>100005</v>
      </c>
      <c r="B6" t="s">
        <v>100</v>
      </c>
      <c r="C6" t="s">
        <v>95</v>
      </c>
      <c r="D6">
        <v>120000</v>
      </c>
      <c r="E6">
        <v>90057</v>
      </c>
      <c r="F6">
        <v>21</v>
      </c>
      <c r="G6">
        <v>1.6</v>
      </c>
      <c r="H6">
        <v>7</v>
      </c>
      <c r="I6" t="s">
        <v>93</v>
      </c>
      <c r="M6" s="11"/>
    </row>
    <row r="7" spans="1:13">
      <c r="A7">
        <v>100006</v>
      </c>
      <c r="B7" t="s">
        <v>101</v>
      </c>
      <c r="C7" t="s">
        <v>92</v>
      </c>
      <c r="D7">
        <v>150000</v>
      </c>
      <c r="E7">
        <v>140375</v>
      </c>
      <c r="F7">
        <v>18</v>
      </c>
      <c r="G7">
        <v>2.7</v>
      </c>
      <c r="H7">
        <v>7</v>
      </c>
      <c r="I7" t="s">
        <v>93</v>
      </c>
      <c r="M7" s="16" t="s">
        <v>102</v>
      </c>
    </row>
    <row r="8" spans="1:13">
      <c r="A8">
        <v>100007</v>
      </c>
      <c r="B8" t="s">
        <v>103</v>
      </c>
      <c r="C8" t="s">
        <v>95</v>
      </c>
      <c r="D8">
        <v>75000</v>
      </c>
      <c r="E8">
        <v>126673</v>
      </c>
      <c r="F8">
        <v>30</v>
      </c>
      <c r="G8">
        <v>3.6</v>
      </c>
      <c r="H8">
        <v>4</v>
      </c>
      <c r="I8" t="s">
        <v>93</v>
      </c>
    </row>
    <row r="9" spans="1:13">
      <c r="A9">
        <v>100008</v>
      </c>
      <c r="B9" t="s">
        <v>104</v>
      </c>
      <c r="C9" t="s">
        <v>92</v>
      </c>
      <c r="D9">
        <v>0</v>
      </c>
      <c r="E9">
        <v>151886</v>
      </c>
      <c r="F9">
        <v>20</v>
      </c>
      <c r="G9">
        <v>3.9</v>
      </c>
      <c r="H9">
        <v>4</v>
      </c>
      <c r="I9" t="s">
        <v>93</v>
      </c>
      <c r="M9" s="14" t="s">
        <v>105</v>
      </c>
    </row>
    <row r="10" spans="1:13">
      <c r="A10">
        <v>100009</v>
      </c>
      <c r="B10" t="s">
        <v>106</v>
      </c>
      <c r="C10" t="s">
        <v>107</v>
      </c>
      <c r="D10">
        <v>50000</v>
      </c>
      <c r="E10">
        <v>75544</v>
      </c>
      <c r="F10">
        <v>15</v>
      </c>
      <c r="G10">
        <v>4.5999999999999996</v>
      </c>
      <c r="H10">
        <v>14</v>
      </c>
      <c r="I10" t="s">
        <v>93</v>
      </c>
      <c r="M10" s="11"/>
    </row>
    <row r="11" spans="1:13">
      <c r="A11">
        <v>100010</v>
      </c>
      <c r="B11" t="s">
        <v>108</v>
      </c>
      <c r="C11" t="s">
        <v>107</v>
      </c>
      <c r="D11">
        <v>75000</v>
      </c>
      <c r="E11">
        <v>104511</v>
      </c>
      <c r="F11">
        <v>22</v>
      </c>
      <c r="G11">
        <v>3.9</v>
      </c>
      <c r="H11">
        <v>8</v>
      </c>
      <c r="I11" t="s">
        <v>93</v>
      </c>
      <c r="M11" s="15" t="s">
        <v>109</v>
      </c>
    </row>
    <row r="12" spans="1:13">
      <c r="A12">
        <v>100011</v>
      </c>
      <c r="B12" t="s">
        <v>110</v>
      </c>
      <c r="C12" t="s">
        <v>111</v>
      </c>
      <c r="D12">
        <v>75000</v>
      </c>
      <c r="E12">
        <v>48572</v>
      </c>
      <c r="F12">
        <v>24</v>
      </c>
      <c r="G12">
        <v>2.6</v>
      </c>
      <c r="H12">
        <v>4</v>
      </c>
      <c r="I12" t="s">
        <v>93</v>
      </c>
      <c r="M12" s="11"/>
    </row>
    <row r="13" spans="1:13">
      <c r="A13">
        <v>100012</v>
      </c>
      <c r="B13" t="s">
        <v>101</v>
      </c>
      <c r="C13" t="s">
        <v>107</v>
      </c>
      <c r="D13">
        <v>120000</v>
      </c>
      <c r="E13">
        <v>87327</v>
      </c>
      <c r="F13">
        <v>21</v>
      </c>
      <c r="G13">
        <v>4.2</v>
      </c>
      <c r="H13">
        <v>5</v>
      </c>
      <c r="I13" t="s">
        <v>93</v>
      </c>
      <c r="M13" s="16" t="s">
        <v>112</v>
      </c>
    </row>
    <row r="14" spans="1:13">
      <c r="A14">
        <v>100013</v>
      </c>
      <c r="B14" t="s">
        <v>113</v>
      </c>
      <c r="C14" t="s">
        <v>92</v>
      </c>
      <c r="D14">
        <v>0</v>
      </c>
      <c r="E14">
        <v>41956</v>
      </c>
      <c r="F14">
        <v>27</v>
      </c>
      <c r="G14">
        <v>4.8</v>
      </c>
      <c r="H14">
        <v>2</v>
      </c>
      <c r="I14" t="s">
        <v>93</v>
      </c>
    </row>
    <row r="15" spans="1:13">
      <c r="A15">
        <v>100014</v>
      </c>
      <c r="B15" t="s">
        <v>114</v>
      </c>
      <c r="C15" t="s">
        <v>95</v>
      </c>
      <c r="D15">
        <v>75000</v>
      </c>
      <c r="E15">
        <v>53035</v>
      </c>
      <c r="F15">
        <v>20</v>
      </c>
      <c r="G15">
        <v>2.2999999999999998</v>
      </c>
      <c r="H15">
        <v>5</v>
      </c>
      <c r="I15" t="s">
        <v>93</v>
      </c>
      <c r="M15" s="14" t="s">
        <v>115</v>
      </c>
    </row>
    <row r="16" spans="1:13">
      <c r="A16">
        <v>100015</v>
      </c>
      <c r="B16" t="s">
        <v>116</v>
      </c>
      <c r="C16" t="s">
        <v>107</v>
      </c>
      <c r="D16">
        <v>150000</v>
      </c>
      <c r="E16">
        <v>177240</v>
      </c>
      <c r="F16">
        <v>15</v>
      </c>
      <c r="G16">
        <v>3.6</v>
      </c>
      <c r="H16">
        <v>5</v>
      </c>
      <c r="I16" t="s">
        <v>93</v>
      </c>
      <c r="M16" s="11"/>
    </row>
    <row r="17" spans="1:13">
      <c r="A17">
        <v>100016</v>
      </c>
      <c r="B17" t="s">
        <v>117</v>
      </c>
      <c r="C17" t="s">
        <v>107</v>
      </c>
      <c r="D17">
        <v>100000</v>
      </c>
      <c r="E17">
        <v>37581</v>
      </c>
      <c r="F17">
        <v>20</v>
      </c>
      <c r="G17">
        <v>1.7</v>
      </c>
      <c r="H17">
        <v>6</v>
      </c>
      <c r="I17" t="s">
        <v>93</v>
      </c>
      <c r="M17" s="15" t="s">
        <v>118</v>
      </c>
    </row>
    <row r="18" spans="1:13">
      <c r="A18">
        <v>100017</v>
      </c>
      <c r="B18" t="s">
        <v>119</v>
      </c>
      <c r="C18" t="s">
        <v>95</v>
      </c>
      <c r="D18">
        <v>120000</v>
      </c>
      <c r="E18">
        <v>112224</v>
      </c>
      <c r="F18">
        <v>23</v>
      </c>
      <c r="G18">
        <v>4.0999999999999996</v>
      </c>
      <c r="H18">
        <v>14</v>
      </c>
      <c r="I18" t="s">
        <v>93</v>
      </c>
      <c r="M18" s="11"/>
    </row>
    <row r="19" spans="1:13">
      <c r="A19">
        <v>100018</v>
      </c>
      <c r="B19" t="s">
        <v>120</v>
      </c>
      <c r="C19" t="s">
        <v>111</v>
      </c>
      <c r="D19">
        <v>120000</v>
      </c>
      <c r="E19">
        <v>65068</v>
      </c>
      <c r="F19">
        <v>21</v>
      </c>
      <c r="G19">
        <v>2.1</v>
      </c>
      <c r="H19">
        <v>12</v>
      </c>
      <c r="I19" t="s">
        <v>93</v>
      </c>
      <c r="M19" s="16" t="s">
        <v>121</v>
      </c>
    </row>
    <row r="20" spans="1:13">
      <c r="A20">
        <v>100019</v>
      </c>
      <c r="B20" t="s">
        <v>122</v>
      </c>
      <c r="C20" t="s">
        <v>111</v>
      </c>
      <c r="D20">
        <v>0</v>
      </c>
      <c r="E20">
        <v>33903</v>
      </c>
      <c r="F20">
        <v>18</v>
      </c>
      <c r="G20">
        <v>2.7</v>
      </c>
      <c r="H20">
        <v>0</v>
      </c>
      <c r="I20" t="s">
        <v>93</v>
      </c>
    </row>
    <row r="21" spans="1:13">
      <c r="A21">
        <v>100020</v>
      </c>
      <c r="B21" t="s">
        <v>123</v>
      </c>
      <c r="C21" t="s">
        <v>107</v>
      </c>
      <c r="D21">
        <v>75000</v>
      </c>
      <c r="E21">
        <v>151796</v>
      </c>
      <c r="F21">
        <v>30</v>
      </c>
      <c r="G21">
        <v>3.4</v>
      </c>
      <c r="H21">
        <v>1</v>
      </c>
      <c r="I21" t="s">
        <v>93</v>
      </c>
      <c r="M21" s="14" t="s">
        <v>124</v>
      </c>
    </row>
    <row r="22" spans="1:13">
      <c r="A22">
        <v>100021</v>
      </c>
      <c r="B22" t="s">
        <v>125</v>
      </c>
      <c r="C22" t="s">
        <v>92</v>
      </c>
      <c r="D22">
        <v>150000</v>
      </c>
      <c r="E22">
        <v>97024</v>
      </c>
      <c r="F22">
        <v>20</v>
      </c>
      <c r="G22">
        <v>2.2999999999999998</v>
      </c>
      <c r="H22">
        <v>3</v>
      </c>
      <c r="I22" t="s">
        <v>93</v>
      </c>
      <c r="M22" s="11"/>
    </row>
    <row r="23" spans="1:13">
      <c r="A23">
        <v>100022</v>
      </c>
      <c r="B23" t="s">
        <v>126</v>
      </c>
      <c r="C23" t="s">
        <v>95</v>
      </c>
      <c r="D23">
        <v>75000</v>
      </c>
      <c r="E23">
        <v>36628</v>
      </c>
      <c r="F23">
        <v>25</v>
      </c>
      <c r="G23">
        <v>2.6</v>
      </c>
      <c r="H23">
        <v>8</v>
      </c>
      <c r="I23" t="s">
        <v>93</v>
      </c>
      <c r="M23" s="15" t="s">
        <v>127</v>
      </c>
    </row>
    <row r="24" spans="1:13">
      <c r="A24">
        <v>100023</v>
      </c>
      <c r="B24" t="s">
        <v>128</v>
      </c>
      <c r="C24" t="s">
        <v>111</v>
      </c>
      <c r="D24">
        <v>120000</v>
      </c>
      <c r="E24">
        <v>115548</v>
      </c>
      <c r="F24">
        <v>20</v>
      </c>
      <c r="G24">
        <v>1.6</v>
      </c>
      <c r="H24">
        <v>3</v>
      </c>
      <c r="I24" t="s">
        <v>93</v>
      </c>
      <c r="M24" s="11"/>
    </row>
    <row r="25" spans="1:13">
      <c r="A25">
        <v>100024</v>
      </c>
      <c r="B25" t="s">
        <v>110</v>
      </c>
      <c r="C25" t="s">
        <v>95</v>
      </c>
      <c r="D25">
        <v>150000</v>
      </c>
      <c r="E25">
        <v>54975</v>
      </c>
      <c r="F25">
        <v>16</v>
      </c>
      <c r="G25">
        <v>3.8</v>
      </c>
      <c r="H25">
        <v>0</v>
      </c>
      <c r="I25" t="s">
        <v>93</v>
      </c>
      <c r="M25" s="16" t="s">
        <v>129</v>
      </c>
    </row>
    <row r="26" spans="1:13">
      <c r="A26">
        <v>100025</v>
      </c>
      <c r="B26" t="s">
        <v>130</v>
      </c>
      <c r="C26" t="s">
        <v>107</v>
      </c>
      <c r="D26">
        <v>100000</v>
      </c>
      <c r="E26">
        <v>172451</v>
      </c>
      <c r="F26">
        <v>19</v>
      </c>
      <c r="G26">
        <v>2.2000000000000002</v>
      </c>
      <c r="H26">
        <v>3</v>
      </c>
      <c r="I26" t="s">
        <v>93</v>
      </c>
    </row>
    <row r="27" spans="1:13">
      <c r="A27">
        <v>100026</v>
      </c>
      <c r="B27" t="s">
        <v>131</v>
      </c>
      <c r="C27" t="s">
        <v>92</v>
      </c>
      <c r="D27">
        <v>120000</v>
      </c>
      <c r="E27">
        <v>176502</v>
      </c>
      <c r="F27">
        <v>20</v>
      </c>
      <c r="G27">
        <v>4.2</v>
      </c>
      <c r="H27">
        <v>0</v>
      </c>
      <c r="I27" t="s">
        <v>93</v>
      </c>
      <c r="M27" s="14" t="s">
        <v>132</v>
      </c>
    </row>
    <row r="28" spans="1:13">
      <c r="A28">
        <v>100027</v>
      </c>
      <c r="B28" t="s">
        <v>120</v>
      </c>
      <c r="C28" t="s">
        <v>111</v>
      </c>
      <c r="D28">
        <v>120000</v>
      </c>
      <c r="E28">
        <v>75298</v>
      </c>
      <c r="F28">
        <v>22</v>
      </c>
      <c r="G28">
        <v>3.4</v>
      </c>
      <c r="H28">
        <v>9</v>
      </c>
      <c r="I28" t="s">
        <v>50</v>
      </c>
      <c r="M28" s="11"/>
    </row>
    <row r="29" spans="1:13">
      <c r="A29">
        <v>100028</v>
      </c>
      <c r="B29" t="s">
        <v>133</v>
      </c>
      <c r="C29" t="s">
        <v>92</v>
      </c>
      <c r="D29">
        <v>120000</v>
      </c>
      <c r="E29">
        <v>59198</v>
      </c>
      <c r="F29">
        <v>27</v>
      </c>
      <c r="G29">
        <v>2.9</v>
      </c>
      <c r="H29">
        <v>9</v>
      </c>
      <c r="I29" t="s">
        <v>93</v>
      </c>
      <c r="M29" s="15" t="s">
        <v>134</v>
      </c>
    </row>
    <row r="30" spans="1:13">
      <c r="A30">
        <v>100029</v>
      </c>
      <c r="B30" t="s">
        <v>135</v>
      </c>
      <c r="C30" t="s">
        <v>95</v>
      </c>
      <c r="D30">
        <v>100000</v>
      </c>
      <c r="E30">
        <v>89481</v>
      </c>
      <c r="F30">
        <v>28</v>
      </c>
      <c r="G30">
        <v>4.3</v>
      </c>
      <c r="H30">
        <v>9</v>
      </c>
      <c r="I30" t="s">
        <v>93</v>
      </c>
      <c r="M30" s="11"/>
    </row>
    <row r="31" spans="1:13">
      <c r="A31">
        <v>100030</v>
      </c>
      <c r="B31" t="s">
        <v>119</v>
      </c>
      <c r="C31" t="s">
        <v>107</v>
      </c>
      <c r="D31">
        <v>100000</v>
      </c>
      <c r="E31">
        <v>129767</v>
      </c>
      <c r="F31">
        <v>21</v>
      </c>
      <c r="G31">
        <v>2.4</v>
      </c>
      <c r="H31">
        <v>4</v>
      </c>
      <c r="I31" t="s">
        <v>93</v>
      </c>
      <c r="M31" s="11"/>
    </row>
    <row r="32" spans="1:13">
      <c r="A32">
        <v>100031</v>
      </c>
      <c r="B32" t="s">
        <v>136</v>
      </c>
      <c r="C32" t="s">
        <v>95</v>
      </c>
      <c r="D32">
        <v>50000</v>
      </c>
      <c r="E32">
        <v>162440</v>
      </c>
      <c r="F32">
        <v>22</v>
      </c>
      <c r="G32">
        <v>3.1</v>
      </c>
      <c r="H32">
        <v>8</v>
      </c>
      <c r="I32" t="s">
        <v>93</v>
      </c>
      <c r="M32" s="17"/>
    </row>
    <row r="33" spans="1:13">
      <c r="A33">
        <v>100032</v>
      </c>
      <c r="B33" t="s">
        <v>123</v>
      </c>
      <c r="C33" t="s">
        <v>92</v>
      </c>
      <c r="D33">
        <v>75000</v>
      </c>
      <c r="E33">
        <v>155769</v>
      </c>
      <c r="F33">
        <v>26</v>
      </c>
      <c r="G33">
        <v>4.9000000000000004</v>
      </c>
      <c r="H33">
        <v>12</v>
      </c>
      <c r="I33" t="s">
        <v>93</v>
      </c>
      <c r="M33" s="17" t="s">
        <v>137</v>
      </c>
    </row>
    <row r="34" spans="1:13">
      <c r="A34">
        <v>100033</v>
      </c>
      <c r="B34" t="s">
        <v>138</v>
      </c>
      <c r="C34" t="s">
        <v>111</v>
      </c>
      <c r="D34">
        <v>150000</v>
      </c>
      <c r="E34">
        <v>114876</v>
      </c>
      <c r="F34">
        <v>21</v>
      </c>
      <c r="G34">
        <v>5</v>
      </c>
      <c r="H34">
        <v>2</v>
      </c>
      <c r="I34" t="s">
        <v>93</v>
      </c>
      <c r="M34" s="17"/>
    </row>
    <row r="35" spans="1:13">
      <c r="A35">
        <v>100034</v>
      </c>
      <c r="B35" t="s">
        <v>139</v>
      </c>
      <c r="C35" t="s">
        <v>92</v>
      </c>
      <c r="D35">
        <v>0</v>
      </c>
      <c r="E35">
        <v>166457</v>
      </c>
      <c r="F35">
        <v>21</v>
      </c>
      <c r="G35">
        <v>4.8</v>
      </c>
      <c r="H35">
        <v>13</v>
      </c>
      <c r="I35" t="s">
        <v>93</v>
      </c>
      <c r="M35" s="17" t="s">
        <v>140</v>
      </c>
    </row>
    <row r="36" spans="1:13">
      <c r="A36">
        <v>100035</v>
      </c>
      <c r="B36" t="s">
        <v>141</v>
      </c>
      <c r="C36" t="s">
        <v>107</v>
      </c>
      <c r="D36">
        <v>120000</v>
      </c>
      <c r="E36">
        <v>62557</v>
      </c>
      <c r="F36">
        <v>18</v>
      </c>
      <c r="G36">
        <v>3.6</v>
      </c>
      <c r="H36">
        <v>4</v>
      </c>
      <c r="I36" t="s">
        <v>93</v>
      </c>
      <c r="M36" s="17"/>
    </row>
    <row r="37" spans="1:13">
      <c r="A37">
        <v>100036</v>
      </c>
      <c r="B37" t="s">
        <v>142</v>
      </c>
      <c r="C37" t="s">
        <v>107</v>
      </c>
      <c r="D37">
        <v>75000</v>
      </c>
      <c r="E37">
        <v>91454</v>
      </c>
      <c r="F37">
        <v>20</v>
      </c>
      <c r="G37">
        <v>2.5</v>
      </c>
      <c r="H37">
        <v>4</v>
      </c>
      <c r="I37" t="s">
        <v>93</v>
      </c>
      <c r="M37" s="17" t="s">
        <v>143</v>
      </c>
    </row>
    <row r="38" spans="1:13">
      <c r="A38">
        <v>100037</v>
      </c>
      <c r="B38" t="s">
        <v>144</v>
      </c>
      <c r="C38" t="s">
        <v>107</v>
      </c>
      <c r="D38">
        <v>75000</v>
      </c>
      <c r="E38">
        <v>118742</v>
      </c>
      <c r="F38">
        <v>28</v>
      </c>
      <c r="G38">
        <v>2.7</v>
      </c>
      <c r="H38">
        <v>10</v>
      </c>
      <c r="I38" t="s">
        <v>93</v>
      </c>
      <c r="M38" s="17"/>
    </row>
    <row r="39" spans="1:13">
      <c r="A39">
        <v>100038</v>
      </c>
      <c r="B39" t="s">
        <v>145</v>
      </c>
      <c r="C39" t="s">
        <v>92</v>
      </c>
      <c r="D39">
        <v>120000</v>
      </c>
      <c r="E39">
        <v>66537</v>
      </c>
      <c r="F39">
        <v>23</v>
      </c>
      <c r="G39">
        <v>2.1</v>
      </c>
      <c r="H39">
        <v>8</v>
      </c>
      <c r="I39" t="s">
        <v>93</v>
      </c>
      <c r="M39" s="17" t="s">
        <v>146</v>
      </c>
    </row>
    <row r="40" spans="1:13">
      <c r="A40">
        <v>100039</v>
      </c>
      <c r="B40" t="s">
        <v>147</v>
      </c>
      <c r="C40" t="s">
        <v>111</v>
      </c>
      <c r="D40">
        <v>0</v>
      </c>
      <c r="E40">
        <v>172136</v>
      </c>
      <c r="F40">
        <v>21</v>
      </c>
      <c r="G40">
        <v>1.9</v>
      </c>
      <c r="H40">
        <v>4</v>
      </c>
      <c r="I40" t="s">
        <v>93</v>
      </c>
    </row>
    <row r="41" spans="1:13">
      <c r="A41">
        <v>100040</v>
      </c>
      <c r="B41" t="s">
        <v>148</v>
      </c>
      <c r="C41" t="s">
        <v>107</v>
      </c>
      <c r="D41">
        <v>0</v>
      </c>
      <c r="E41">
        <v>58719</v>
      </c>
      <c r="F41">
        <v>28</v>
      </c>
      <c r="G41">
        <v>3.4</v>
      </c>
      <c r="H41">
        <v>1</v>
      </c>
      <c r="I41" t="s">
        <v>93</v>
      </c>
      <c r="M41" s="14" t="s">
        <v>149</v>
      </c>
    </row>
    <row r="42" spans="1:13">
      <c r="A42">
        <v>100041</v>
      </c>
      <c r="B42" t="s">
        <v>150</v>
      </c>
      <c r="C42" t="s">
        <v>92</v>
      </c>
      <c r="D42">
        <v>120000</v>
      </c>
      <c r="E42">
        <v>121098</v>
      </c>
      <c r="F42">
        <v>24</v>
      </c>
      <c r="G42">
        <v>3.2</v>
      </c>
      <c r="H42">
        <v>14</v>
      </c>
      <c r="I42" t="s">
        <v>50</v>
      </c>
      <c r="M42" s="11"/>
    </row>
    <row r="43" spans="1:13">
      <c r="A43">
        <v>100042</v>
      </c>
      <c r="B43" t="s">
        <v>151</v>
      </c>
      <c r="C43" t="s">
        <v>92</v>
      </c>
      <c r="D43">
        <v>75000</v>
      </c>
      <c r="E43">
        <v>130365</v>
      </c>
      <c r="F43">
        <v>30</v>
      </c>
      <c r="G43">
        <v>3.7</v>
      </c>
      <c r="H43">
        <v>15</v>
      </c>
      <c r="I43" t="s">
        <v>93</v>
      </c>
      <c r="M43" s="15" t="s">
        <v>152</v>
      </c>
    </row>
    <row r="44" spans="1:13">
      <c r="A44">
        <v>100043</v>
      </c>
      <c r="B44" t="s">
        <v>153</v>
      </c>
      <c r="C44" t="s">
        <v>92</v>
      </c>
      <c r="D44">
        <v>75000</v>
      </c>
      <c r="E44">
        <v>77753</v>
      </c>
      <c r="F44">
        <v>29</v>
      </c>
      <c r="G44">
        <v>3.1</v>
      </c>
      <c r="H44">
        <v>0</v>
      </c>
      <c r="I44" t="s">
        <v>93</v>
      </c>
      <c r="M44" s="11"/>
    </row>
    <row r="45" spans="1:13">
      <c r="A45">
        <v>100044</v>
      </c>
      <c r="B45" t="s">
        <v>154</v>
      </c>
      <c r="C45" t="s">
        <v>107</v>
      </c>
      <c r="D45">
        <v>100000</v>
      </c>
      <c r="E45">
        <v>51383</v>
      </c>
      <c r="F45">
        <v>17</v>
      </c>
      <c r="G45">
        <v>3.8</v>
      </c>
      <c r="H45">
        <v>14</v>
      </c>
      <c r="I45" t="s">
        <v>50</v>
      </c>
      <c r="M45" s="16" t="s">
        <v>155</v>
      </c>
    </row>
    <row r="46" spans="1:13">
      <c r="A46">
        <v>100045</v>
      </c>
      <c r="B46" t="s">
        <v>156</v>
      </c>
      <c r="C46" t="s">
        <v>95</v>
      </c>
      <c r="D46">
        <v>0</v>
      </c>
      <c r="E46">
        <v>112148</v>
      </c>
      <c r="F46">
        <v>24</v>
      </c>
      <c r="G46">
        <v>3.2</v>
      </c>
      <c r="H46">
        <v>1</v>
      </c>
      <c r="I46" t="s">
        <v>93</v>
      </c>
    </row>
    <row r="47" spans="1:13">
      <c r="A47">
        <v>100046</v>
      </c>
      <c r="B47" t="s">
        <v>157</v>
      </c>
      <c r="C47" t="s">
        <v>95</v>
      </c>
      <c r="D47">
        <v>100000</v>
      </c>
      <c r="E47">
        <v>112257</v>
      </c>
      <c r="F47">
        <v>23</v>
      </c>
      <c r="G47">
        <v>2.7</v>
      </c>
      <c r="H47">
        <v>4</v>
      </c>
      <c r="I47" t="s">
        <v>93</v>
      </c>
    </row>
    <row r="48" spans="1:13">
      <c r="A48">
        <v>100047</v>
      </c>
      <c r="B48" t="s">
        <v>158</v>
      </c>
      <c r="C48" t="s">
        <v>92</v>
      </c>
      <c r="D48">
        <v>100000</v>
      </c>
      <c r="E48">
        <v>69561</v>
      </c>
      <c r="F48">
        <v>16</v>
      </c>
      <c r="G48">
        <v>2.7</v>
      </c>
      <c r="H48">
        <v>10</v>
      </c>
      <c r="I48" t="s">
        <v>93</v>
      </c>
    </row>
    <row r="49" spans="1:9">
      <c r="A49">
        <v>100048</v>
      </c>
      <c r="B49" t="s">
        <v>159</v>
      </c>
      <c r="C49" t="s">
        <v>92</v>
      </c>
      <c r="D49">
        <v>120000</v>
      </c>
      <c r="E49">
        <v>169140</v>
      </c>
      <c r="F49">
        <v>16</v>
      </c>
      <c r="G49">
        <v>4.9000000000000004</v>
      </c>
      <c r="H49">
        <v>3</v>
      </c>
      <c r="I49" t="s">
        <v>93</v>
      </c>
    </row>
    <row r="50" spans="1:9">
      <c r="A50">
        <v>100049</v>
      </c>
      <c r="B50" t="s">
        <v>160</v>
      </c>
      <c r="C50" t="s">
        <v>107</v>
      </c>
      <c r="D50">
        <v>120000</v>
      </c>
      <c r="E50">
        <v>82438</v>
      </c>
      <c r="F50">
        <v>19</v>
      </c>
      <c r="G50">
        <v>2</v>
      </c>
      <c r="H50">
        <v>0</v>
      </c>
      <c r="I50" t="s">
        <v>93</v>
      </c>
    </row>
    <row r="51" spans="1:9">
      <c r="A51">
        <v>100050</v>
      </c>
      <c r="B51" t="s">
        <v>161</v>
      </c>
      <c r="C51" t="s">
        <v>107</v>
      </c>
      <c r="D51">
        <v>100000</v>
      </c>
      <c r="E51">
        <v>148018</v>
      </c>
      <c r="F51">
        <v>25</v>
      </c>
      <c r="G51">
        <v>1.5</v>
      </c>
      <c r="H51">
        <v>13</v>
      </c>
      <c r="I51" t="s">
        <v>93</v>
      </c>
    </row>
    <row r="52" spans="1:9">
      <c r="A52">
        <v>100051</v>
      </c>
      <c r="B52" t="s">
        <v>162</v>
      </c>
      <c r="C52" t="s">
        <v>95</v>
      </c>
      <c r="D52">
        <v>50000</v>
      </c>
      <c r="E52">
        <v>163309</v>
      </c>
      <c r="F52">
        <v>28</v>
      </c>
      <c r="G52">
        <v>3.2</v>
      </c>
      <c r="H52">
        <v>12</v>
      </c>
      <c r="I52" t="s">
        <v>93</v>
      </c>
    </row>
    <row r="53" spans="1:9">
      <c r="A53">
        <v>100052</v>
      </c>
      <c r="B53" t="s">
        <v>145</v>
      </c>
      <c r="C53" t="s">
        <v>111</v>
      </c>
      <c r="D53">
        <v>0</v>
      </c>
      <c r="E53">
        <v>167761</v>
      </c>
      <c r="F53">
        <v>17</v>
      </c>
      <c r="G53">
        <v>4.8</v>
      </c>
      <c r="H53">
        <v>3</v>
      </c>
      <c r="I53" t="s">
        <v>93</v>
      </c>
    </row>
    <row r="54" spans="1:9">
      <c r="A54">
        <v>100053</v>
      </c>
      <c r="B54" t="s">
        <v>163</v>
      </c>
      <c r="C54" t="s">
        <v>107</v>
      </c>
      <c r="D54">
        <v>100000</v>
      </c>
      <c r="E54">
        <v>156908</v>
      </c>
      <c r="F54">
        <v>30</v>
      </c>
      <c r="G54">
        <v>4.5</v>
      </c>
      <c r="H54">
        <v>8</v>
      </c>
      <c r="I54" t="s">
        <v>93</v>
      </c>
    </row>
    <row r="55" spans="1:9">
      <c r="A55">
        <v>100054</v>
      </c>
      <c r="B55" t="s">
        <v>164</v>
      </c>
      <c r="C55" t="s">
        <v>92</v>
      </c>
      <c r="D55">
        <v>50000</v>
      </c>
      <c r="E55">
        <v>34854</v>
      </c>
      <c r="F55">
        <v>22</v>
      </c>
      <c r="G55">
        <v>4.5</v>
      </c>
      <c r="H55">
        <v>13</v>
      </c>
      <c r="I55" t="s">
        <v>93</v>
      </c>
    </row>
    <row r="56" spans="1:9">
      <c r="A56">
        <v>100055</v>
      </c>
      <c r="B56" t="s">
        <v>165</v>
      </c>
      <c r="C56" t="s">
        <v>107</v>
      </c>
      <c r="D56">
        <v>50000</v>
      </c>
      <c r="E56">
        <v>100741</v>
      </c>
      <c r="F56">
        <v>16</v>
      </c>
      <c r="G56">
        <v>1.9</v>
      </c>
      <c r="H56">
        <v>5</v>
      </c>
      <c r="I56" t="s">
        <v>50</v>
      </c>
    </row>
    <row r="57" spans="1:9">
      <c r="A57">
        <v>100056</v>
      </c>
      <c r="B57" t="s">
        <v>166</v>
      </c>
      <c r="C57" t="s">
        <v>92</v>
      </c>
      <c r="D57">
        <v>50000</v>
      </c>
      <c r="E57">
        <v>70679</v>
      </c>
      <c r="F57">
        <v>16</v>
      </c>
      <c r="G57">
        <v>2.4</v>
      </c>
      <c r="H57">
        <v>11</v>
      </c>
      <c r="I57" t="s">
        <v>93</v>
      </c>
    </row>
    <row r="58" spans="1:9">
      <c r="A58">
        <v>100057</v>
      </c>
      <c r="B58" t="s">
        <v>167</v>
      </c>
      <c r="C58" t="s">
        <v>95</v>
      </c>
      <c r="D58">
        <v>50000</v>
      </c>
      <c r="E58">
        <v>124423</v>
      </c>
      <c r="F58">
        <v>23</v>
      </c>
      <c r="G58">
        <v>4.2</v>
      </c>
      <c r="H58">
        <v>13</v>
      </c>
      <c r="I58" t="s">
        <v>93</v>
      </c>
    </row>
    <row r="59" spans="1:9">
      <c r="A59">
        <v>100058</v>
      </c>
      <c r="B59" t="s">
        <v>145</v>
      </c>
      <c r="C59" t="s">
        <v>95</v>
      </c>
      <c r="D59">
        <v>100000</v>
      </c>
      <c r="E59">
        <v>99826</v>
      </c>
      <c r="F59">
        <v>15</v>
      </c>
      <c r="G59">
        <v>3.1</v>
      </c>
      <c r="H59">
        <v>7</v>
      </c>
      <c r="I59" t="s">
        <v>93</v>
      </c>
    </row>
    <row r="60" spans="1:9">
      <c r="A60">
        <v>100059</v>
      </c>
      <c r="B60" t="s">
        <v>168</v>
      </c>
      <c r="C60" t="s">
        <v>95</v>
      </c>
      <c r="D60">
        <v>100000</v>
      </c>
      <c r="E60">
        <v>47779</v>
      </c>
      <c r="F60">
        <v>18</v>
      </c>
      <c r="G60">
        <v>3.1</v>
      </c>
      <c r="H60">
        <v>2</v>
      </c>
      <c r="I60" t="s">
        <v>93</v>
      </c>
    </row>
    <row r="61" spans="1:9">
      <c r="A61">
        <v>100060</v>
      </c>
      <c r="B61" t="s">
        <v>169</v>
      </c>
      <c r="C61" t="s">
        <v>111</v>
      </c>
      <c r="D61">
        <v>75000</v>
      </c>
      <c r="E61">
        <v>81899</v>
      </c>
      <c r="F61">
        <v>22</v>
      </c>
      <c r="G61">
        <v>3.1</v>
      </c>
      <c r="H61">
        <v>13</v>
      </c>
      <c r="I61" t="s">
        <v>50</v>
      </c>
    </row>
    <row r="62" spans="1:9">
      <c r="A62">
        <v>100061</v>
      </c>
      <c r="B62" t="s">
        <v>170</v>
      </c>
      <c r="C62" t="s">
        <v>111</v>
      </c>
      <c r="D62">
        <v>150000</v>
      </c>
      <c r="E62">
        <v>130649</v>
      </c>
      <c r="F62">
        <v>23</v>
      </c>
      <c r="G62">
        <v>4.4000000000000004</v>
      </c>
      <c r="H62">
        <v>4</v>
      </c>
      <c r="I62" t="s">
        <v>93</v>
      </c>
    </row>
    <row r="63" spans="1:9">
      <c r="A63">
        <v>100062</v>
      </c>
      <c r="B63" t="s">
        <v>159</v>
      </c>
      <c r="C63" t="s">
        <v>111</v>
      </c>
      <c r="D63">
        <v>50000</v>
      </c>
      <c r="E63">
        <v>63756</v>
      </c>
      <c r="F63">
        <v>23</v>
      </c>
      <c r="G63">
        <v>2.9</v>
      </c>
      <c r="H63">
        <v>7</v>
      </c>
      <c r="I63" t="s">
        <v>93</v>
      </c>
    </row>
    <row r="64" spans="1:9">
      <c r="A64">
        <v>100063</v>
      </c>
      <c r="B64" t="s">
        <v>144</v>
      </c>
      <c r="C64" t="s">
        <v>95</v>
      </c>
      <c r="D64">
        <v>120000</v>
      </c>
      <c r="E64">
        <v>128711</v>
      </c>
      <c r="F64">
        <v>29</v>
      </c>
      <c r="G64">
        <v>4.7</v>
      </c>
      <c r="H64">
        <v>3</v>
      </c>
      <c r="I64" t="s">
        <v>93</v>
      </c>
    </row>
    <row r="65" spans="1:9">
      <c r="A65">
        <v>100064</v>
      </c>
      <c r="B65" t="s">
        <v>158</v>
      </c>
      <c r="C65" t="s">
        <v>95</v>
      </c>
      <c r="D65">
        <v>100000</v>
      </c>
      <c r="E65">
        <v>60829</v>
      </c>
      <c r="F65">
        <v>26</v>
      </c>
      <c r="G65">
        <v>1.8</v>
      </c>
      <c r="H65">
        <v>15</v>
      </c>
      <c r="I65" t="s">
        <v>93</v>
      </c>
    </row>
    <row r="66" spans="1:9">
      <c r="A66">
        <v>100065</v>
      </c>
      <c r="B66" t="s">
        <v>159</v>
      </c>
      <c r="C66" t="s">
        <v>95</v>
      </c>
      <c r="D66">
        <v>120000</v>
      </c>
      <c r="E66">
        <v>57597</v>
      </c>
      <c r="F66">
        <v>27</v>
      </c>
      <c r="G66">
        <v>3.1</v>
      </c>
      <c r="H66">
        <v>13</v>
      </c>
      <c r="I66" t="s">
        <v>93</v>
      </c>
    </row>
    <row r="67" spans="1:9">
      <c r="A67">
        <v>100066</v>
      </c>
      <c r="B67" t="s">
        <v>171</v>
      </c>
      <c r="C67" t="s">
        <v>92</v>
      </c>
      <c r="D67">
        <v>150000</v>
      </c>
      <c r="E67">
        <v>167389</v>
      </c>
      <c r="F67">
        <v>22</v>
      </c>
      <c r="G67">
        <v>4.4000000000000004</v>
      </c>
      <c r="H67">
        <v>7</v>
      </c>
      <c r="I67" t="s">
        <v>93</v>
      </c>
    </row>
    <row r="68" spans="1:9">
      <c r="A68">
        <v>100067</v>
      </c>
      <c r="B68" t="s">
        <v>172</v>
      </c>
      <c r="C68" t="s">
        <v>111</v>
      </c>
      <c r="D68">
        <v>0</v>
      </c>
      <c r="E68">
        <v>164724</v>
      </c>
      <c r="F68">
        <v>26</v>
      </c>
      <c r="G68">
        <v>1.7</v>
      </c>
      <c r="H68">
        <v>5</v>
      </c>
      <c r="I68" t="s">
        <v>93</v>
      </c>
    </row>
    <row r="69" spans="1:9">
      <c r="A69">
        <v>100068</v>
      </c>
      <c r="B69" t="s">
        <v>173</v>
      </c>
      <c r="C69" t="s">
        <v>95</v>
      </c>
      <c r="D69">
        <v>75000</v>
      </c>
      <c r="E69">
        <v>178976</v>
      </c>
      <c r="F69">
        <v>28</v>
      </c>
      <c r="G69">
        <v>4.8</v>
      </c>
      <c r="H69">
        <v>14</v>
      </c>
      <c r="I69" t="s">
        <v>93</v>
      </c>
    </row>
    <row r="70" spans="1:9">
      <c r="A70">
        <v>100069</v>
      </c>
      <c r="B70" t="s">
        <v>174</v>
      </c>
      <c r="C70" t="s">
        <v>92</v>
      </c>
      <c r="D70">
        <v>100000</v>
      </c>
      <c r="E70">
        <v>34304</v>
      </c>
      <c r="F70">
        <v>21</v>
      </c>
      <c r="G70">
        <v>4.0999999999999996</v>
      </c>
      <c r="H70">
        <v>6</v>
      </c>
      <c r="I70" t="s">
        <v>93</v>
      </c>
    </row>
    <row r="71" spans="1:9">
      <c r="A71">
        <v>100070</v>
      </c>
      <c r="B71" t="s">
        <v>175</v>
      </c>
      <c r="C71" t="s">
        <v>107</v>
      </c>
      <c r="D71">
        <v>75000</v>
      </c>
      <c r="E71">
        <v>156662</v>
      </c>
      <c r="F71">
        <v>28</v>
      </c>
      <c r="G71">
        <v>2.5</v>
      </c>
      <c r="H71">
        <v>10</v>
      </c>
      <c r="I71" t="s">
        <v>93</v>
      </c>
    </row>
    <row r="72" spans="1:9">
      <c r="A72">
        <v>100071</v>
      </c>
      <c r="B72" t="s">
        <v>165</v>
      </c>
      <c r="C72" t="s">
        <v>107</v>
      </c>
      <c r="D72">
        <v>150000</v>
      </c>
      <c r="E72">
        <v>174203</v>
      </c>
      <c r="F72">
        <v>16</v>
      </c>
      <c r="G72">
        <v>3.6</v>
      </c>
      <c r="H72">
        <v>15</v>
      </c>
      <c r="I72" t="s">
        <v>93</v>
      </c>
    </row>
    <row r="73" spans="1:9">
      <c r="A73">
        <v>100072</v>
      </c>
      <c r="B73" t="s">
        <v>176</v>
      </c>
      <c r="C73" t="s">
        <v>107</v>
      </c>
      <c r="D73">
        <v>100000</v>
      </c>
      <c r="E73">
        <v>134496</v>
      </c>
      <c r="F73">
        <v>19</v>
      </c>
      <c r="G73">
        <v>4.7</v>
      </c>
      <c r="H73">
        <v>10</v>
      </c>
      <c r="I73" t="s">
        <v>93</v>
      </c>
    </row>
    <row r="74" spans="1:9">
      <c r="A74">
        <v>100073</v>
      </c>
      <c r="B74" t="s">
        <v>177</v>
      </c>
      <c r="C74" t="s">
        <v>92</v>
      </c>
      <c r="D74">
        <v>120000</v>
      </c>
      <c r="E74">
        <v>78770</v>
      </c>
      <c r="F74">
        <v>29</v>
      </c>
      <c r="G74">
        <v>2.2999999999999998</v>
      </c>
      <c r="H74">
        <v>12</v>
      </c>
      <c r="I74" t="s">
        <v>93</v>
      </c>
    </row>
    <row r="75" spans="1:9">
      <c r="A75">
        <v>100074</v>
      </c>
      <c r="B75" t="s">
        <v>94</v>
      </c>
      <c r="C75" t="s">
        <v>107</v>
      </c>
      <c r="D75">
        <v>50000</v>
      </c>
      <c r="E75">
        <v>138547</v>
      </c>
      <c r="F75">
        <v>24</v>
      </c>
      <c r="G75">
        <v>2.1</v>
      </c>
      <c r="H75">
        <v>6</v>
      </c>
      <c r="I75" t="s">
        <v>93</v>
      </c>
    </row>
    <row r="76" spans="1:9">
      <c r="A76">
        <v>100075</v>
      </c>
      <c r="B76" t="s">
        <v>178</v>
      </c>
      <c r="C76" t="s">
        <v>95</v>
      </c>
      <c r="D76">
        <v>0</v>
      </c>
      <c r="E76">
        <v>84307</v>
      </c>
      <c r="F76">
        <v>17</v>
      </c>
      <c r="G76">
        <v>4.4000000000000004</v>
      </c>
      <c r="H76">
        <v>5</v>
      </c>
      <c r="I76" t="s">
        <v>50</v>
      </c>
    </row>
    <row r="77" spans="1:9">
      <c r="A77">
        <v>100076</v>
      </c>
      <c r="B77" t="s">
        <v>179</v>
      </c>
      <c r="C77" t="s">
        <v>107</v>
      </c>
      <c r="D77">
        <v>0</v>
      </c>
      <c r="E77">
        <v>56892</v>
      </c>
      <c r="F77">
        <v>22</v>
      </c>
      <c r="G77">
        <v>4.5</v>
      </c>
      <c r="H77">
        <v>14</v>
      </c>
      <c r="I77" t="s">
        <v>93</v>
      </c>
    </row>
    <row r="78" spans="1:9">
      <c r="A78">
        <v>100077</v>
      </c>
      <c r="B78" t="s">
        <v>180</v>
      </c>
      <c r="C78" t="s">
        <v>92</v>
      </c>
      <c r="D78">
        <v>0</v>
      </c>
      <c r="E78">
        <v>122475</v>
      </c>
      <c r="F78">
        <v>27</v>
      </c>
      <c r="G78">
        <v>4.2</v>
      </c>
      <c r="H78">
        <v>8</v>
      </c>
      <c r="I78" t="s">
        <v>93</v>
      </c>
    </row>
    <row r="79" spans="1:9">
      <c r="A79">
        <v>100078</v>
      </c>
      <c r="B79" t="s">
        <v>94</v>
      </c>
      <c r="C79" t="s">
        <v>111</v>
      </c>
      <c r="D79">
        <v>100000</v>
      </c>
      <c r="E79">
        <v>113240</v>
      </c>
      <c r="F79">
        <v>28</v>
      </c>
      <c r="G79">
        <v>4.8</v>
      </c>
      <c r="H79">
        <v>6</v>
      </c>
      <c r="I79" t="s">
        <v>50</v>
      </c>
    </row>
    <row r="80" spans="1:9">
      <c r="A80">
        <v>100079</v>
      </c>
      <c r="B80" t="s">
        <v>138</v>
      </c>
      <c r="C80" t="s">
        <v>92</v>
      </c>
      <c r="D80">
        <v>0</v>
      </c>
      <c r="E80">
        <v>62750</v>
      </c>
      <c r="F80">
        <v>20</v>
      </c>
      <c r="G80">
        <v>3.9</v>
      </c>
      <c r="H80">
        <v>7</v>
      </c>
      <c r="I80" t="s">
        <v>93</v>
      </c>
    </row>
    <row r="81" spans="1:9">
      <c r="A81">
        <v>100080</v>
      </c>
      <c r="B81" t="s">
        <v>135</v>
      </c>
      <c r="C81" t="s">
        <v>111</v>
      </c>
      <c r="D81">
        <v>75000</v>
      </c>
      <c r="E81">
        <v>122768</v>
      </c>
      <c r="F81">
        <v>21</v>
      </c>
      <c r="G81">
        <v>2</v>
      </c>
      <c r="H81">
        <v>2</v>
      </c>
      <c r="I81" t="s">
        <v>93</v>
      </c>
    </row>
    <row r="82" spans="1:9">
      <c r="A82">
        <v>100081</v>
      </c>
      <c r="B82" t="s">
        <v>181</v>
      </c>
      <c r="C82" t="s">
        <v>107</v>
      </c>
      <c r="D82">
        <v>0</v>
      </c>
      <c r="E82">
        <v>95474</v>
      </c>
      <c r="F82">
        <v>30</v>
      </c>
      <c r="G82">
        <v>2.7</v>
      </c>
      <c r="H82">
        <v>13</v>
      </c>
      <c r="I82" t="s">
        <v>50</v>
      </c>
    </row>
    <row r="83" spans="1:9">
      <c r="A83">
        <v>100082</v>
      </c>
      <c r="B83" t="s">
        <v>151</v>
      </c>
      <c r="C83" t="s">
        <v>107</v>
      </c>
      <c r="D83">
        <v>100000</v>
      </c>
      <c r="E83">
        <v>86927</v>
      </c>
      <c r="F83">
        <v>25</v>
      </c>
      <c r="G83">
        <v>3.1</v>
      </c>
      <c r="H83">
        <v>6</v>
      </c>
      <c r="I83" t="s">
        <v>93</v>
      </c>
    </row>
    <row r="84" spans="1:9">
      <c r="A84">
        <v>100083</v>
      </c>
      <c r="B84" t="s">
        <v>182</v>
      </c>
      <c r="C84" t="s">
        <v>95</v>
      </c>
      <c r="D84">
        <v>50000</v>
      </c>
      <c r="E84">
        <v>170090</v>
      </c>
      <c r="F84">
        <v>22</v>
      </c>
      <c r="G84">
        <v>3.2</v>
      </c>
      <c r="H84">
        <v>15</v>
      </c>
      <c r="I84" t="s">
        <v>93</v>
      </c>
    </row>
    <row r="85" spans="1:9">
      <c r="A85">
        <v>100084</v>
      </c>
      <c r="B85" t="s">
        <v>183</v>
      </c>
      <c r="C85" t="s">
        <v>92</v>
      </c>
      <c r="D85">
        <v>50000</v>
      </c>
      <c r="E85">
        <v>176463</v>
      </c>
      <c r="F85">
        <v>16</v>
      </c>
      <c r="G85">
        <v>3.1</v>
      </c>
      <c r="H85">
        <v>13</v>
      </c>
      <c r="I85" t="s">
        <v>93</v>
      </c>
    </row>
    <row r="86" spans="1:9">
      <c r="A86">
        <v>100085</v>
      </c>
      <c r="B86" t="s">
        <v>184</v>
      </c>
      <c r="C86" t="s">
        <v>107</v>
      </c>
      <c r="D86">
        <v>75000</v>
      </c>
      <c r="E86">
        <v>112396</v>
      </c>
      <c r="F86">
        <v>23</v>
      </c>
      <c r="G86">
        <v>4.2</v>
      </c>
      <c r="H86">
        <v>4</v>
      </c>
      <c r="I86" t="s">
        <v>93</v>
      </c>
    </row>
    <row r="87" spans="1:9">
      <c r="A87">
        <v>100086</v>
      </c>
      <c r="B87" t="s">
        <v>131</v>
      </c>
      <c r="C87" t="s">
        <v>107</v>
      </c>
      <c r="D87">
        <v>150000</v>
      </c>
      <c r="E87">
        <v>126681</v>
      </c>
      <c r="F87">
        <v>30</v>
      </c>
      <c r="G87">
        <v>4.8</v>
      </c>
      <c r="H87">
        <v>0</v>
      </c>
      <c r="I87" t="s">
        <v>93</v>
      </c>
    </row>
    <row r="88" spans="1:9">
      <c r="A88">
        <v>100087</v>
      </c>
      <c r="B88" t="s">
        <v>183</v>
      </c>
      <c r="C88" t="s">
        <v>111</v>
      </c>
      <c r="D88">
        <v>100000</v>
      </c>
      <c r="E88">
        <v>66306</v>
      </c>
      <c r="F88">
        <v>16</v>
      </c>
      <c r="G88">
        <v>2.8</v>
      </c>
      <c r="H88">
        <v>5</v>
      </c>
      <c r="I88" t="s">
        <v>50</v>
      </c>
    </row>
    <row r="89" spans="1:9">
      <c r="A89">
        <v>100088</v>
      </c>
      <c r="B89" t="s">
        <v>185</v>
      </c>
      <c r="C89" t="s">
        <v>107</v>
      </c>
      <c r="D89">
        <v>75000</v>
      </c>
      <c r="E89">
        <v>92044</v>
      </c>
      <c r="F89">
        <v>23</v>
      </c>
      <c r="G89">
        <v>2</v>
      </c>
      <c r="H89">
        <v>0</v>
      </c>
      <c r="I89" t="s">
        <v>93</v>
      </c>
    </row>
    <row r="90" spans="1:9">
      <c r="A90">
        <v>100089</v>
      </c>
      <c r="B90" t="s">
        <v>186</v>
      </c>
      <c r="C90" t="s">
        <v>92</v>
      </c>
      <c r="D90">
        <v>150000</v>
      </c>
      <c r="E90">
        <v>43385</v>
      </c>
      <c r="F90">
        <v>15</v>
      </c>
      <c r="G90">
        <v>2.5</v>
      </c>
      <c r="H90">
        <v>15</v>
      </c>
      <c r="I90" t="s">
        <v>50</v>
      </c>
    </row>
    <row r="91" spans="1:9">
      <c r="A91">
        <v>100090</v>
      </c>
      <c r="B91" t="s">
        <v>187</v>
      </c>
      <c r="C91" t="s">
        <v>95</v>
      </c>
      <c r="D91">
        <v>150000</v>
      </c>
      <c r="E91">
        <v>93099</v>
      </c>
      <c r="F91">
        <v>30</v>
      </c>
      <c r="G91">
        <v>2.1</v>
      </c>
      <c r="H91">
        <v>0</v>
      </c>
      <c r="I91" t="s">
        <v>93</v>
      </c>
    </row>
    <row r="92" spans="1:9">
      <c r="A92">
        <v>100091</v>
      </c>
      <c r="B92" t="s">
        <v>188</v>
      </c>
      <c r="C92" t="s">
        <v>107</v>
      </c>
      <c r="D92">
        <v>50000</v>
      </c>
      <c r="E92">
        <v>158202</v>
      </c>
      <c r="F92">
        <v>16</v>
      </c>
      <c r="G92">
        <v>4.3</v>
      </c>
      <c r="H92">
        <v>9</v>
      </c>
      <c r="I92" t="s">
        <v>93</v>
      </c>
    </row>
    <row r="93" spans="1:9">
      <c r="A93">
        <v>100092</v>
      </c>
      <c r="B93" t="s">
        <v>189</v>
      </c>
      <c r="C93" t="s">
        <v>107</v>
      </c>
      <c r="D93">
        <v>150000</v>
      </c>
      <c r="E93">
        <v>39934</v>
      </c>
      <c r="F93">
        <v>18</v>
      </c>
      <c r="G93">
        <v>2.4</v>
      </c>
      <c r="H93">
        <v>13</v>
      </c>
      <c r="I93" t="s">
        <v>93</v>
      </c>
    </row>
    <row r="94" spans="1:9">
      <c r="A94">
        <v>100093</v>
      </c>
      <c r="B94" t="s">
        <v>190</v>
      </c>
      <c r="C94" t="s">
        <v>107</v>
      </c>
      <c r="D94">
        <v>50000</v>
      </c>
      <c r="E94">
        <v>38666</v>
      </c>
      <c r="F94">
        <v>28</v>
      </c>
      <c r="G94">
        <v>2.4</v>
      </c>
      <c r="H94">
        <v>2</v>
      </c>
      <c r="I94" t="s">
        <v>93</v>
      </c>
    </row>
    <row r="95" spans="1:9">
      <c r="A95">
        <v>100094</v>
      </c>
      <c r="B95" t="s">
        <v>142</v>
      </c>
      <c r="C95" t="s">
        <v>111</v>
      </c>
      <c r="D95">
        <v>150000</v>
      </c>
      <c r="E95">
        <v>41464</v>
      </c>
      <c r="F95">
        <v>30</v>
      </c>
      <c r="G95">
        <v>3.2</v>
      </c>
      <c r="H95">
        <v>14</v>
      </c>
      <c r="I95" t="s">
        <v>93</v>
      </c>
    </row>
    <row r="96" spans="1:9">
      <c r="A96">
        <v>100095</v>
      </c>
      <c r="B96" t="s">
        <v>164</v>
      </c>
      <c r="C96" t="s">
        <v>95</v>
      </c>
      <c r="D96">
        <v>75000</v>
      </c>
      <c r="E96">
        <v>129676</v>
      </c>
      <c r="F96">
        <v>20</v>
      </c>
      <c r="G96">
        <v>3.2</v>
      </c>
      <c r="H96">
        <v>4</v>
      </c>
      <c r="I96" t="s">
        <v>93</v>
      </c>
    </row>
    <row r="97" spans="1:9">
      <c r="A97">
        <v>100096</v>
      </c>
      <c r="B97" t="s">
        <v>180</v>
      </c>
      <c r="C97" t="s">
        <v>92</v>
      </c>
      <c r="D97">
        <v>150000</v>
      </c>
      <c r="E97">
        <v>108301</v>
      </c>
      <c r="F97">
        <v>27</v>
      </c>
      <c r="G97">
        <v>4</v>
      </c>
      <c r="H97">
        <v>14</v>
      </c>
      <c r="I97" t="s">
        <v>93</v>
      </c>
    </row>
    <row r="98" spans="1:9">
      <c r="A98">
        <v>100097</v>
      </c>
      <c r="B98" t="s">
        <v>182</v>
      </c>
      <c r="C98" t="s">
        <v>111</v>
      </c>
      <c r="D98">
        <v>50000</v>
      </c>
      <c r="E98">
        <v>33534</v>
      </c>
      <c r="F98">
        <v>24</v>
      </c>
      <c r="G98">
        <v>4.5999999999999996</v>
      </c>
      <c r="H98">
        <v>10</v>
      </c>
      <c r="I98" t="s">
        <v>50</v>
      </c>
    </row>
    <row r="99" spans="1:9">
      <c r="A99">
        <v>100098</v>
      </c>
      <c r="B99" t="s">
        <v>108</v>
      </c>
      <c r="C99" t="s">
        <v>111</v>
      </c>
      <c r="D99">
        <v>50000</v>
      </c>
      <c r="E99">
        <v>63017</v>
      </c>
      <c r="F99">
        <v>24</v>
      </c>
      <c r="G99">
        <v>3.9</v>
      </c>
      <c r="H99">
        <v>6</v>
      </c>
      <c r="I99" t="s">
        <v>93</v>
      </c>
    </row>
    <row r="100" spans="1:9">
      <c r="A100">
        <v>100099</v>
      </c>
      <c r="B100" t="s">
        <v>130</v>
      </c>
      <c r="C100" t="s">
        <v>111</v>
      </c>
      <c r="D100">
        <v>75000</v>
      </c>
      <c r="E100">
        <v>87959</v>
      </c>
      <c r="F100">
        <v>30</v>
      </c>
      <c r="G100">
        <v>4.0999999999999996</v>
      </c>
      <c r="H100">
        <v>1</v>
      </c>
      <c r="I100" t="s">
        <v>93</v>
      </c>
    </row>
    <row r="101" spans="1:9">
      <c r="A101">
        <v>100100</v>
      </c>
      <c r="B101" t="s">
        <v>191</v>
      </c>
      <c r="C101" t="s">
        <v>111</v>
      </c>
      <c r="D101">
        <v>150000</v>
      </c>
      <c r="E101">
        <v>45163</v>
      </c>
      <c r="F101">
        <v>15</v>
      </c>
      <c r="G101">
        <v>4.4000000000000004</v>
      </c>
      <c r="H101">
        <v>13</v>
      </c>
      <c r="I101" t="s">
        <v>93</v>
      </c>
    </row>
    <row r="102" spans="1:9">
      <c r="A102">
        <v>100101</v>
      </c>
      <c r="B102" t="s">
        <v>160</v>
      </c>
      <c r="C102" t="s">
        <v>111</v>
      </c>
      <c r="D102">
        <v>120000</v>
      </c>
      <c r="E102">
        <v>97421</v>
      </c>
      <c r="F102">
        <v>16</v>
      </c>
      <c r="G102">
        <v>4.3</v>
      </c>
      <c r="H102">
        <v>14</v>
      </c>
      <c r="I102" t="s">
        <v>93</v>
      </c>
    </row>
    <row r="103" spans="1:9">
      <c r="A103">
        <v>100102</v>
      </c>
      <c r="B103" t="s">
        <v>192</v>
      </c>
      <c r="C103" t="s">
        <v>111</v>
      </c>
      <c r="D103">
        <v>100000</v>
      </c>
      <c r="E103">
        <v>57976</v>
      </c>
      <c r="F103">
        <v>30</v>
      </c>
      <c r="G103">
        <v>5</v>
      </c>
      <c r="H103">
        <v>6</v>
      </c>
      <c r="I103" t="s">
        <v>93</v>
      </c>
    </row>
    <row r="104" spans="1:9">
      <c r="A104">
        <v>100103</v>
      </c>
      <c r="B104" t="s">
        <v>193</v>
      </c>
      <c r="C104" t="s">
        <v>111</v>
      </c>
      <c r="D104">
        <v>100000</v>
      </c>
      <c r="E104">
        <v>49425</v>
      </c>
      <c r="F104">
        <v>25</v>
      </c>
      <c r="G104">
        <v>4.9000000000000004</v>
      </c>
      <c r="H104">
        <v>10</v>
      </c>
      <c r="I104" t="s">
        <v>50</v>
      </c>
    </row>
    <row r="105" spans="1:9">
      <c r="A105">
        <v>100104</v>
      </c>
      <c r="B105" t="s">
        <v>194</v>
      </c>
      <c r="C105" t="s">
        <v>107</v>
      </c>
      <c r="D105">
        <v>100000</v>
      </c>
      <c r="E105">
        <v>153049</v>
      </c>
      <c r="F105">
        <v>17</v>
      </c>
      <c r="G105">
        <v>4.9000000000000004</v>
      </c>
      <c r="H105">
        <v>11</v>
      </c>
      <c r="I105" t="s">
        <v>93</v>
      </c>
    </row>
    <row r="106" spans="1:9">
      <c r="A106">
        <v>100105</v>
      </c>
      <c r="B106" t="s">
        <v>195</v>
      </c>
      <c r="C106" t="s">
        <v>92</v>
      </c>
      <c r="D106">
        <v>0</v>
      </c>
      <c r="E106">
        <v>150934</v>
      </c>
      <c r="F106">
        <v>26</v>
      </c>
      <c r="G106">
        <v>2.9</v>
      </c>
      <c r="H106">
        <v>2</v>
      </c>
      <c r="I106" t="s">
        <v>93</v>
      </c>
    </row>
    <row r="107" spans="1:9">
      <c r="A107">
        <v>100106</v>
      </c>
      <c r="B107" t="s">
        <v>196</v>
      </c>
      <c r="C107" t="s">
        <v>92</v>
      </c>
      <c r="D107">
        <v>120000</v>
      </c>
      <c r="E107">
        <v>85481</v>
      </c>
      <c r="F107">
        <v>15</v>
      </c>
      <c r="G107">
        <v>1.7</v>
      </c>
      <c r="H107">
        <v>2</v>
      </c>
      <c r="I107" t="s">
        <v>93</v>
      </c>
    </row>
    <row r="108" spans="1:9">
      <c r="A108">
        <v>100107</v>
      </c>
      <c r="B108" t="s">
        <v>197</v>
      </c>
      <c r="C108" t="s">
        <v>95</v>
      </c>
      <c r="D108">
        <v>50000</v>
      </c>
      <c r="E108">
        <v>38916</v>
      </c>
      <c r="F108">
        <v>15</v>
      </c>
      <c r="G108">
        <v>4.7</v>
      </c>
      <c r="H108">
        <v>2</v>
      </c>
      <c r="I108" t="s">
        <v>93</v>
      </c>
    </row>
    <row r="109" spans="1:9">
      <c r="A109">
        <v>100108</v>
      </c>
      <c r="B109" t="s">
        <v>198</v>
      </c>
      <c r="C109" t="s">
        <v>107</v>
      </c>
      <c r="D109">
        <v>75000</v>
      </c>
      <c r="E109">
        <v>102813</v>
      </c>
      <c r="F109">
        <v>23</v>
      </c>
      <c r="G109">
        <v>1.6</v>
      </c>
      <c r="H109">
        <v>13</v>
      </c>
      <c r="I109" t="s">
        <v>93</v>
      </c>
    </row>
    <row r="110" spans="1:9">
      <c r="A110">
        <v>100109</v>
      </c>
      <c r="B110" t="s">
        <v>199</v>
      </c>
      <c r="C110" t="s">
        <v>111</v>
      </c>
      <c r="D110">
        <v>120000</v>
      </c>
      <c r="E110">
        <v>113257</v>
      </c>
      <c r="F110">
        <v>26</v>
      </c>
      <c r="G110">
        <v>2.2999999999999998</v>
      </c>
      <c r="H110">
        <v>13</v>
      </c>
      <c r="I110" t="s">
        <v>93</v>
      </c>
    </row>
    <row r="111" spans="1:9">
      <c r="A111">
        <v>100110</v>
      </c>
      <c r="B111" t="s">
        <v>200</v>
      </c>
      <c r="C111" t="s">
        <v>107</v>
      </c>
      <c r="D111">
        <v>0</v>
      </c>
      <c r="E111">
        <v>43126</v>
      </c>
      <c r="F111">
        <v>30</v>
      </c>
      <c r="G111">
        <v>4.3</v>
      </c>
      <c r="H111">
        <v>14</v>
      </c>
      <c r="I111" t="s">
        <v>93</v>
      </c>
    </row>
    <row r="112" spans="1:9">
      <c r="A112">
        <v>100111</v>
      </c>
      <c r="B112" t="s">
        <v>183</v>
      </c>
      <c r="C112" t="s">
        <v>95</v>
      </c>
      <c r="D112">
        <v>75000</v>
      </c>
      <c r="E112">
        <v>80095</v>
      </c>
      <c r="F112">
        <v>17</v>
      </c>
      <c r="G112">
        <v>2.8</v>
      </c>
      <c r="H112">
        <v>7</v>
      </c>
      <c r="I112" t="s">
        <v>50</v>
      </c>
    </row>
    <row r="113" spans="1:9">
      <c r="A113">
        <v>100112</v>
      </c>
      <c r="B113" t="s">
        <v>201</v>
      </c>
      <c r="C113" t="s">
        <v>107</v>
      </c>
      <c r="D113">
        <v>120000</v>
      </c>
      <c r="E113">
        <v>37205</v>
      </c>
      <c r="F113">
        <v>27</v>
      </c>
      <c r="G113">
        <v>1.7</v>
      </c>
      <c r="H113">
        <v>11</v>
      </c>
      <c r="I113" t="s">
        <v>93</v>
      </c>
    </row>
    <row r="114" spans="1:9">
      <c r="A114">
        <v>100113</v>
      </c>
      <c r="B114" t="s">
        <v>202</v>
      </c>
      <c r="C114" t="s">
        <v>95</v>
      </c>
      <c r="D114">
        <v>120000</v>
      </c>
      <c r="E114">
        <v>138096</v>
      </c>
      <c r="F114">
        <v>19</v>
      </c>
      <c r="G114">
        <v>1.5</v>
      </c>
      <c r="H114">
        <v>4</v>
      </c>
      <c r="I114" t="s">
        <v>93</v>
      </c>
    </row>
    <row r="115" spans="1:9">
      <c r="A115">
        <v>100114</v>
      </c>
      <c r="B115" t="s">
        <v>203</v>
      </c>
      <c r="C115" t="s">
        <v>92</v>
      </c>
      <c r="D115">
        <v>100000</v>
      </c>
      <c r="E115">
        <v>151373</v>
      </c>
      <c r="F115">
        <v>28</v>
      </c>
      <c r="G115">
        <v>3.7</v>
      </c>
      <c r="H115">
        <v>8</v>
      </c>
      <c r="I115" t="s">
        <v>93</v>
      </c>
    </row>
    <row r="116" spans="1:9">
      <c r="A116">
        <v>100115</v>
      </c>
      <c r="B116" t="s">
        <v>153</v>
      </c>
      <c r="C116" t="s">
        <v>111</v>
      </c>
      <c r="D116">
        <v>50000</v>
      </c>
      <c r="E116">
        <v>107006</v>
      </c>
      <c r="F116">
        <v>27</v>
      </c>
      <c r="G116">
        <v>4.9000000000000004</v>
      </c>
      <c r="H116">
        <v>3</v>
      </c>
      <c r="I116" t="s">
        <v>50</v>
      </c>
    </row>
    <row r="117" spans="1:9">
      <c r="A117">
        <v>100116</v>
      </c>
      <c r="B117" t="s">
        <v>204</v>
      </c>
      <c r="C117" t="s">
        <v>111</v>
      </c>
      <c r="D117">
        <v>150000</v>
      </c>
      <c r="E117">
        <v>130208</v>
      </c>
      <c r="F117">
        <v>25</v>
      </c>
      <c r="G117">
        <v>4.9000000000000004</v>
      </c>
      <c r="H117">
        <v>4</v>
      </c>
      <c r="I117" t="s">
        <v>93</v>
      </c>
    </row>
    <row r="118" spans="1:9">
      <c r="A118">
        <v>100117</v>
      </c>
      <c r="B118" t="s">
        <v>205</v>
      </c>
      <c r="C118" t="s">
        <v>111</v>
      </c>
      <c r="D118">
        <v>50000</v>
      </c>
      <c r="E118">
        <v>117190</v>
      </c>
      <c r="F118">
        <v>25</v>
      </c>
      <c r="G118">
        <v>4.5</v>
      </c>
      <c r="H118">
        <v>13</v>
      </c>
      <c r="I118" t="s">
        <v>93</v>
      </c>
    </row>
    <row r="119" spans="1:9">
      <c r="A119">
        <v>100118</v>
      </c>
      <c r="B119" t="s">
        <v>206</v>
      </c>
      <c r="C119" t="s">
        <v>111</v>
      </c>
      <c r="D119">
        <v>120000</v>
      </c>
      <c r="E119">
        <v>148215</v>
      </c>
      <c r="F119">
        <v>26</v>
      </c>
      <c r="G119">
        <v>4.7</v>
      </c>
      <c r="H119">
        <v>3</v>
      </c>
      <c r="I119" t="s">
        <v>93</v>
      </c>
    </row>
    <row r="120" spans="1:9">
      <c r="A120">
        <v>100119</v>
      </c>
      <c r="B120" t="s">
        <v>161</v>
      </c>
      <c r="C120" t="s">
        <v>92</v>
      </c>
      <c r="D120">
        <v>75000</v>
      </c>
      <c r="E120">
        <v>89607</v>
      </c>
      <c r="F120">
        <v>25</v>
      </c>
      <c r="G120">
        <v>2.8</v>
      </c>
      <c r="H120">
        <v>6</v>
      </c>
      <c r="I120" t="s">
        <v>93</v>
      </c>
    </row>
    <row r="121" spans="1:9">
      <c r="A121">
        <v>100120</v>
      </c>
      <c r="B121" t="s">
        <v>207</v>
      </c>
      <c r="C121" t="s">
        <v>111</v>
      </c>
      <c r="D121">
        <v>0</v>
      </c>
      <c r="E121">
        <v>90423</v>
      </c>
      <c r="F121">
        <v>26</v>
      </c>
      <c r="G121">
        <v>4.5</v>
      </c>
      <c r="H121">
        <v>4</v>
      </c>
      <c r="I121" t="s">
        <v>93</v>
      </c>
    </row>
    <row r="122" spans="1:9">
      <c r="A122">
        <v>100121</v>
      </c>
      <c r="B122" t="s">
        <v>208</v>
      </c>
      <c r="C122" t="s">
        <v>95</v>
      </c>
      <c r="D122">
        <v>50000</v>
      </c>
      <c r="E122">
        <v>121983</v>
      </c>
      <c r="F122">
        <v>21</v>
      </c>
      <c r="G122">
        <v>2.4</v>
      </c>
      <c r="H122">
        <v>10</v>
      </c>
      <c r="I122" t="s">
        <v>93</v>
      </c>
    </row>
    <row r="123" spans="1:9">
      <c r="A123">
        <v>100122</v>
      </c>
      <c r="B123" t="s">
        <v>209</v>
      </c>
      <c r="C123" t="s">
        <v>111</v>
      </c>
      <c r="D123">
        <v>120000</v>
      </c>
      <c r="E123">
        <v>35122</v>
      </c>
      <c r="F123">
        <v>19</v>
      </c>
      <c r="G123">
        <v>4.7</v>
      </c>
      <c r="H123">
        <v>7</v>
      </c>
      <c r="I123" t="s">
        <v>50</v>
      </c>
    </row>
    <row r="124" spans="1:9">
      <c r="A124">
        <v>100123</v>
      </c>
      <c r="B124" t="s">
        <v>208</v>
      </c>
      <c r="C124" t="s">
        <v>92</v>
      </c>
      <c r="D124">
        <v>150000</v>
      </c>
      <c r="E124">
        <v>78140</v>
      </c>
      <c r="F124">
        <v>24</v>
      </c>
      <c r="G124">
        <v>1.7</v>
      </c>
      <c r="H124">
        <v>11</v>
      </c>
      <c r="I124" t="s">
        <v>50</v>
      </c>
    </row>
    <row r="125" spans="1:9">
      <c r="A125">
        <v>100124</v>
      </c>
      <c r="B125" t="s">
        <v>210</v>
      </c>
      <c r="C125" t="s">
        <v>95</v>
      </c>
      <c r="D125">
        <v>75000</v>
      </c>
      <c r="E125">
        <v>113886</v>
      </c>
      <c r="F125">
        <v>26</v>
      </c>
      <c r="G125">
        <v>3.7</v>
      </c>
      <c r="H125">
        <v>5</v>
      </c>
      <c r="I125" t="s">
        <v>50</v>
      </c>
    </row>
    <row r="126" spans="1:9">
      <c r="A126">
        <v>100125</v>
      </c>
      <c r="B126" t="s">
        <v>211</v>
      </c>
      <c r="C126" t="s">
        <v>107</v>
      </c>
      <c r="D126">
        <v>150000</v>
      </c>
      <c r="E126">
        <v>56872</v>
      </c>
      <c r="F126">
        <v>17</v>
      </c>
      <c r="G126">
        <v>1.8</v>
      </c>
      <c r="H126">
        <v>10</v>
      </c>
      <c r="I126" t="s">
        <v>93</v>
      </c>
    </row>
    <row r="127" spans="1:9">
      <c r="A127">
        <v>100126</v>
      </c>
      <c r="B127" t="s">
        <v>98</v>
      </c>
      <c r="C127" t="s">
        <v>92</v>
      </c>
      <c r="D127">
        <v>100000</v>
      </c>
      <c r="E127">
        <v>69354</v>
      </c>
      <c r="F127">
        <v>28</v>
      </c>
      <c r="G127">
        <v>4.9000000000000004</v>
      </c>
      <c r="H127">
        <v>1</v>
      </c>
      <c r="I127" t="s">
        <v>93</v>
      </c>
    </row>
    <row r="128" spans="1:9">
      <c r="A128">
        <v>100127</v>
      </c>
      <c r="B128" t="s">
        <v>212</v>
      </c>
      <c r="C128" t="s">
        <v>107</v>
      </c>
      <c r="D128">
        <v>150000</v>
      </c>
      <c r="E128">
        <v>118561</v>
      </c>
      <c r="F128">
        <v>25</v>
      </c>
      <c r="G128">
        <v>3.8</v>
      </c>
      <c r="H128">
        <v>6</v>
      </c>
      <c r="I128" t="s">
        <v>93</v>
      </c>
    </row>
    <row r="129" spans="1:9">
      <c r="A129">
        <v>100128</v>
      </c>
      <c r="B129" t="s">
        <v>213</v>
      </c>
      <c r="C129" t="s">
        <v>95</v>
      </c>
      <c r="D129">
        <v>120000</v>
      </c>
      <c r="E129">
        <v>61620</v>
      </c>
      <c r="F129">
        <v>28</v>
      </c>
      <c r="G129">
        <v>4.2</v>
      </c>
      <c r="H129">
        <v>9</v>
      </c>
      <c r="I129" t="s">
        <v>93</v>
      </c>
    </row>
    <row r="130" spans="1:9">
      <c r="A130">
        <v>100129</v>
      </c>
      <c r="B130" t="s">
        <v>214</v>
      </c>
      <c r="C130" t="s">
        <v>92</v>
      </c>
      <c r="D130">
        <v>50000</v>
      </c>
      <c r="E130">
        <v>92640</v>
      </c>
      <c r="F130">
        <v>25</v>
      </c>
      <c r="G130">
        <v>3.9</v>
      </c>
      <c r="H130">
        <v>9</v>
      </c>
      <c r="I130" t="s">
        <v>93</v>
      </c>
    </row>
    <row r="131" spans="1:9">
      <c r="A131">
        <v>100130</v>
      </c>
      <c r="B131" t="s">
        <v>214</v>
      </c>
      <c r="C131" t="s">
        <v>107</v>
      </c>
      <c r="D131">
        <v>0</v>
      </c>
      <c r="E131">
        <v>41342</v>
      </c>
      <c r="F131">
        <v>24</v>
      </c>
      <c r="G131">
        <v>4.5</v>
      </c>
      <c r="H131">
        <v>4</v>
      </c>
      <c r="I131" t="s">
        <v>93</v>
      </c>
    </row>
    <row r="132" spans="1:9">
      <c r="A132">
        <v>100131</v>
      </c>
      <c r="B132" t="s">
        <v>215</v>
      </c>
      <c r="C132" t="s">
        <v>111</v>
      </c>
      <c r="D132">
        <v>75000</v>
      </c>
      <c r="E132">
        <v>163094</v>
      </c>
      <c r="F132">
        <v>18</v>
      </c>
      <c r="G132">
        <v>4.5</v>
      </c>
      <c r="H132">
        <v>0</v>
      </c>
      <c r="I132" t="s">
        <v>93</v>
      </c>
    </row>
    <row r="133" spans="1:9">
      <c r="A133">
        <v>100132</v>
      </c>
      <c r="B133" t="s">
        <v>216</v>
      </c>
      <c r="C133" t="s">
        <v>107</v>
      </c>
      <c r="D133">
        <v>50000</v>
      </c>
      <c r="E133">
        <v>108829</v>
      </c>
      <c r="F133">
        <v>23</v>
      </c>
      <c r="G133">
        <v>3.8</v>
      </c>
      <c r="H133">
        <v>12</v>
      </c>
      <c r="I133" t="s">
        <v>93</v>
      </c>
    </row>
    <row r="134" spans="1:9">
      <c r="A134">
        <v>100133</v>
      </c>
      <c r="B134" t="s">
        <v>173</v>
      </c>
      <c r="C134" t="s">
        <v>107</v>
      </c>
      <c r="D134">
        <v>150000</v>
      </c>
      <c r="E134">
        <v>34944</v>
      </c>
      <c r="F134">
        <v>25</v>
      </c>
      <c r="G134">
        <v>4.5</v>
      </c>
      <c r="H134">
        <v>6</v>
      </c>
      <c r="I134" t="s">
        <v>93</v>
      </c>
    </row>
    <row r="135" spans="1:9">
      <c r="A135">
        <v>100134</v>
      </c>
      <c r="B135" t="s">
        <v>203</v>
      </c>
      <c r="C135" t="s">
        <v>107</v>
      </c>
      <c r="D135">
        <v>120000</v>
      </c>
      <c r="E135">
        <v>49325</v>
      </c>
      <c r="F135">
        <v>30</v>
      </c>
      <c r="G135">
        <v>4.0999999999999996</v>
      </c>
      <c r="H135">
        <v>9</v>
      </c>
      <c r="I135" t="s">
        <v>93</v>
      </c>
    </row>
    <row r="136" spans="1:9">
      <c r="A136">
        <v>100135</v>
      </c>
      <c r="B136" t="s">
        <v>217</v>
      </c>
      <c r="C136" t="s">
        <v>107</v>
      </c>
      <c r="D136">
        <v>120000</v>
      </c>
      <c r="E136">
        <v>40333</v>
      </c>
      <c r="F136">
        <v>29</v>
      </c>
      <c r="G136">
        <v>4.5</v>
      </c>
      <c r="H136">
        <v>12</v>
      </c>
      <c r="I136" t="s">
        <v>50</v>
      </c>
    </row>
    <row r="137" spans="1:9">
      <c r="A137">
        <v>100136</v>
      </c>
      <c r="B137" t="s">
        <v>218</v>
      </c>
      <c r="C137" t="s">
        <v>111</v>
      </c>
      <c r="D137">
        <v>150000</v>
      </c>
      <c r="E137">
        <v>39952</v>
      </c>
      <c r="F137">
        <v>20</v>
      </c>
      <c r="G137">
        <v>2.6</v>
      </c>
      <c r="H137">
        <v>0</v>
      </c>
      <c r="I137" t="s">
        <v>93</v>
      </c>
    </row>
    <row r="138" spans="1:9">
      <c r="A138">
        <v>100137</v>
      </c>
      <c r="B138" t="s">
        <v>157</v>
      </c>
      <c r="C138" t="s">
        <v>95</v>
      </c>
      <c r="D138">
        <v>120000</v>
      </c>
      <c r="E138">
        <v>156949</v>
      </c>
      <c r="F138">
        <v>29</v>
      </c>
      <c r="G138">
        <v>3.5</v>
      </c>
      <c r="H138">
        <v>15</v>
      </c>
      <c r="I138" t="s">
        <v>93</v>
      </c>
    </row>
    <row r="139" spans="1:9">
      <c r="A139">
        <v>100138</v>
      </c>
      <c r="B139" t="s">
        <v>219</v>
      </c>
      <c r="C139" t="s">
        <v>92</v>
      </c>
      <c r="D139">
        <v>100000</v>
      </c>
      <c r="E139">
        <v>40608</v>
      </c>
      <c r="F139">
        <v>21</v>
      </c>
      <c r="G139">
        <v>3.5</v>
      </c>
      <c r="H139">
        <v>6</v>
      </c>
      <c r="I139" t="s">
        <v>93</v>
      </c>
    </row>
    <row r="140" spans="1:9">
      <c r="A140">
        <v>100139</v>
      </c>
      <c r="B140" t="s">
        <v>110</v>
      </c>
      <c r="C140" t="s">
        <v>92</v>
      </c>
      <c r="D140">
        <v>150000</v>
      </c>
      <c r="E140">
        <v>133429</v>
      </c>
      <c r="F140">
        <v>15</v>
      </c>
      <c r="G140">
        <v>1.5</v>
      </c>
      <c r="H140">
        <v>3</v>
      </c>
      <c r="I140" t="s">
        <v>93</v>
      </c>
    </row>
    <row r="141" spans="1:9">
      <c r="A141">
        <v>100140</v>
      </c>
      <c r="B141" t="s">
        <v>220</v>
      </c>
      <c r="C141" t="s">
        <v>111</v>
      </c>
      <c r="D141">
        <v>75000</v>
      </c>
      <c r="E141">
        <v>94112</v>
      </c>
      <c r="F141">
        <v>24</v>
      </c>
      <c r="G141">
        <v>4.2</v>
      </c>
      <c r="H141">
        <v>6</v>
      </c>
      <c r="I141" t="s">
        <v>93</v>
      </c>
    </row>
    <row r="142" spans="1:9">
      <c r="A142">
        <v>100141</v>
      </c>
      <c r="B142" t="s">
        <v>144</v>
      </c>
      <c r="C142" t="s">
        <v>107</v>
      </c>
      <c r="D142">
        <v>120000</v>
      </c>
      <c r="E142">
        <v>67954</v>
      </c>
      <c r="F142">
        <v>18</v>
      </c>
      <c r="G142">
        <v>3.9</v>
      </c>
      <c r="H142">
        <v>1</v>
      </c>
      <c r="I142" t="s">
        <v>93</v>
      </c>
    </row>
    <row r="143" spans="1:9">
      <c r="A143">
        <v>100142</v>
      </c>
      <c r="B143" t="s">
        <v>221</v>
      </c>
      <c r="C143" t="s">
        <v>111</v>
      </c>
      <c r="D143">
        <v>75000</v>
      </c>
      <c r="E143">
        <v>110577</v>
      </c>
      <c r="F143">
        <v>18</v>
      </c>
      <c r="G143">
        <v>3.8</v>
      </c>
      <c r="H143">
        <v>10</v>
      </c>
      <c r="I143" t="s">
        <v>93</v>
      </c>
    </row>
    <row r="144" spans="1:9">
      <c r="A144">
        <v>100143</v>
      </c>
      <c r="B144" t="s">
        <v>222</v>
      </c>
      <c r="C144" t="s">
        <v>95</v>
      </c>
      <c r="D144">
        <v>120000</v>
      </c>
      <c r="E144">
        <v>139796</v>
      </c>
      <c r="F144">
        <v>21</v>
      </c>
      <c r="G144">
        <v>2.2000000000000002</v>
      </c>
      <c r="H144">
        <v>11</v>
      </c>
      <c r="I144" t="s">
        <v>93</v>
      </c>
    </row>
    <row r="145" spans="1:9">
      <c r="A145">
        <v>100144</v>
      </c>
      <c r="B145" t="s">
        <v>223</v>
      </c>
      <c r="C145" t="s">
        <v>107</v>
      </c>
      <c r="D145">
        <v>50000</v>
      </c>
      <c r="E145">
        <v>54288</v>
      </c>
      <c r="F145">
        <v>29</v>
      </c>
      <c r="G145">
        <v>1.8</v>
      </c>
      <c r="H145">
        <v>13</v>
      </c>
      <c r="I145" t="s">
        <v>93</v>
      </c>
    </row>
    <row r="146" spans="1:9">
      <c r="A146">
        <v>100145</v>
      </c>
      <c r="B146" t="s">
        <v>158</v>
      </c>
      <c r="C146" t="s">
        <v>95</v>
      </c>
      <c r="D146">
        <v>50000</v>
      </c>
      <c r="E146">
        <v>58744</v>
      </c>
      <c r="F146">
        <v>27</v>
      </c>
      <c r="G146">
        <v>3.8</v>
      </c>
      <c r="H146">
        <v>3</v>
      </c>
      <c r="I146" t="s">
        <v>93</v>
      </c>
    </row>
    <row r="147" spans="1:9">
      <c r="A147">
        <v>100146</v>
      </c>
      <c r="B147" t="s">
        <v>120</v>
      </c>
      <c r="C147" t="s">
        <v>92</v>
      </c>
      <c r="D147">
        <v>75000</v>
      </c>
      <c r="E147">
        <v>116996</v>
      </c>
      <c r="F147">
        <v>25</v>
      </c>
      <c r="G147">
        <v>1.9</v>
      </c>
      <c r="H147">
        <v>10</v>
      </c>
      <c r="I147" t="s">
        <v>93</v>
      </c>
    </row>
    <row r="148" spans="1:9">
      <c r="A148">
        <v>100147</v>
      </c>
      <c r="B148" t="s">
        <v>224</v>
      </c>
      <c r="C148" t="s">
        <v>95</v>
      </c>
      <c r="D148">
        <v>75000</v>
      </c>
      <c r="E148">
        <v>129800</v>
      </c>
      <c r="F148">
        <v>15</v>
      </c>
      <c r="G148">
        <v>4.9000000000000004</v>
      </c>
      <c r="H148">
        <v>7</v>
      </c>
      <c r="I148" t="s">
        <v>93</v>
      </c>
    </row>
    <row r="149" spans="1:9">
      <c r="A149">
        <v>100148</v>
      </c>
      <c r="B149" t="s">
        <v>151</v>
      </c>
      <c r="C149" t="s">
        <v>111</v>
      </c>
      <c r="D149">
        <v>100000</v>
      </c>
      <c r="E149">
        <v>91269</v>
      </c>
      <c r="F149">
        <v>24</v>
      </c>
      <c r="G149">
        <v>1.7</v>
      </c>
      <c r="H149">
        <v>14</v>
      </c>
      <c r="I149" t="s">
        <v>93</v>
      </c>
    </row>
    <row r="150" spans="1:9">
      <c r="A150">
        <v>100149</v>
      </c>
      <c r="B150" t="s">
        <v>214</v>
      </c>
      <c r="C150" t="s">
        <v>95</v>
      </c>
      <c r="D150">
        <v>75000</v>
      </c>
      <c r="E150">
        <v>36051</v>
      </c>
      <c r="F150">
        <v>15</v>
      </c>
      <c r="G150">
        <v>4</v>
      </c>
      <c r="H150">
        <v>5</v>
      </c>
      <c r="I150" t="s">
        <v>93</v>
      </c>
    </row>
    <row r="151" spans="1:9">
      <c r="A151">
        <v>100150</v>
      </c>
      <c r="B151" t="s">
        <v>178</v>
      </c>
      <c r="C151" t="s">
        <v>95</v>
      </c>
      <c r="D151">
        <v>0</v>
      </c>
      <c r="E151">
        <v>177636</v>
      </c>
      <c r="F151">
        <v>24</v>
      </c>
      <c r="G151">
        <v>1.5</v>
      </c>
      <c r="H151">
        <v>8</v>
      </c>
      <c r="I151" t="s">
        <v>50</v>
      </c>
    </row>
    <row r="152" spans="1:9">
      <c r="A152">
        <v>100151</v>
      </c>
      <c r="B152" t="s">
        <v>167</v>
      </c>
      <c r="C152" t="s">
        <v>107</v>
      </c>
      <c r="D152">
        <v>150000</v>
      </c>
      <c r="E152">
        <v>171087</v>
      </c>
      <c r="F152">
        <v>17</v>
      </c>
      <c r="G152">
        <v>4.8</v>
      </c>
      <c r="H152">
        <v>3</v>
      </c>
      <c r="I152" t="s">
        <v>93</v>
      </c>
    </row>
    <row r="153" spans="1:9">
      <c r="A153">
        <v>100152</v>
      </c>
      <c r="B153" t="s">
        <v>195</v>
      </c>
      <c r="C153" t="s">
        <v>111</v>
      </c>
      <c r="D153">
        <v>150000</v>
      </c>
      <c r="E153">
        <v>173807</v>
      </c>
      <c r="F153">
        <v>26</v>
      </c>
      <c r="G153">
        <v>1.9</v>
      </c>
      <c r="H153">
        <v>5</v>
      </c>
      <c r="I153" t="s">
        <v>93</v>
      </c>
    </row>
    <row r="154" spans="1:9">
      <c r="A154">
        <v>100153</v>
      </c>
      <c r="B154" t="s">
        <v>157</v>
      </c>
      <c r="C154" t="s">
        <v>111</v>
      </c>
      <c r="D154">
        <v>120000</v>
      </c>
      <c r="E154">
        <v>31878</v>
      </c>
      <c r="F154">
        <v>18</v>
      </c>
      <c r="G154">
        <v>2.2000000000000002</v>
      </c>
      <c r="H154">
        <v>7</v>
      </c>
      <c r="I154" t="s">
        <v>93</v>
      </c>
    </row>
    <row r="155" spans="1:9">
      <c r="A155">
        <v>100154</v>
      </c>
      <c r="B155" t="s">
        <v>225</v>
      </c>
      <c r="C155" t="s">
        <v>107</v>
      </c>
      <c r="D155">
        <v>120000</v>
      </c>
      <c r="E155">
        <v>60569</v>
      </c>
      <c r="F155">
        <v>19</v>
      </c>
      <c r="G155">
        <v>2.9</v>
      </c>
      <c r="H155">
        <v>5</v>
      </c>
      <c r="I155" t="s">
        <v>93</v>
      </c>
    </row>
    <row r="156" spans="1:9">
      <c r="A156">
        <v>100155</v>
      </c>
      <c r="B156" t="s">
        <v>182</v>
      </c>
      <c r="C156" t="s">
        <v>111</v>
      </c>
      <c r="D156">
        <v>75000</v>
      </c>
      <c r="E156">
        <v>69525</v>
      </c>
      <c r="F156">
        <v>20</v>
      </c>
      <c r="G156">
        <v>3.4</v>
      </c>
      <c r="H156">
        <v>3</v>
      </c>
      <c r="I156" t="s">
        <v>93</v>
      </c>
    </row>
    <row r="157" spans="1:9">
      <c r="A157">
        <v>100156</v>
      </c>
      <c r="B157" t="s">
        <v>193</v>
      </c>
      <c r="C157" t="s">
        <v>107</v>
      </c>
      <c r="D157">
        <v>120000</v>
      </c>
      <c r="E157">
        <v>150732</v>
      </c>
      <c r="F157">
        <v>23</v>
      </c>
      <c r="G157">
        <v>2.8</v>
      </c>
      <c r="H157">
        <v>9</v>
      </c>
      <c r="I157" t="s">
        <v>93</v>
      </c>
    </row>
    <row r="158" spans="1:9">
      <c r="A158">
        <v>100157</v>
      </c>
      <c r="B158" t="s">
        <v>189</v>
      </c>
      <c r="C158" t="s">
        <v>111</v>
      </c>
      <c r="D158">
        <v>50000</v>
      </c>
      <c r="E158">
        <v>88660</v>
      </c>
      <c r="F158">
        <v>26</v>
      </c>
      <c r="G158">
        <v>4.0999999999999996</v>
      </c>
      <c r="H158">
        <v>12</v>
      </c>
      <c r="I158" t="s">
        <v>93</v>
      </c>
    </row>
    <row r="159" spans="1:9">
      <c r="A159">
        <v>100158</v>
      </c>
      <c r="B159" t="s">
        <v>173</v>
      </c>
      <c r="C159" t="s">
        <v>107</v>
      </c>
      <c r="D159">
        <v>0</v>
      </c>
      <c r="E159">
        <v>84468</v>
      </c>
      <c r="F159">
        <v>16</v>
      </c>
      <c r="G159">
        <v>4.9000000000000004</v>
      </c>
      <c r="H159">
        <v>3</v>
      </c>
      <c r="I159" t="s">
        <v>93</v>
      </c>
    </row>
    <row r="160" spans="1:9">
      <c r="A160">
        <v>100159</v>
      </c>
      <c r="B160" t="s">
        <v>131</v>
      </c>
      <c r="C160" t="s">
        <v>107</v>
      </c>
      <c r="D160">
        <v>150000</v>
      </c>
      <c r="E160">
        <v>79577</v>
      </c>
      <c r="F160">
        <v>15</v>
      </c>
      <c r="G160">
        <v>3.3</v>
      </c>
      <c r="H160">
        <v>5</v>
      </c>
      <c r="I160" t="s">
        <v>93</v>
      </c>
    </row>
    <row r="161" spans="1:9">
      <c r="A161">
        <v>100160</v>
      </c>
      <c r="B161" t="s">
        <v>194</v>
      </c>
      <c r="C161" t="s">
        <v>95</v>
      </c>
      <c r="D161">
        <v>100000</v>
      </c>
      <c r="E161">
        <v>123702</v>
      </c>
      <c r="F161">
        <v>22</v>
      </c>
      <c r="G161">
        <v>4.3</v>
      </c>
      <c r="H161">
        <v>0</v>
      </c>
      <c r="I161" t="s">
        <v>93</v>
      </c>
    </row>
    <row r="162" spans="1:9">
      <c r="A162">
        <v>100161</v>
      </c>
      <c r="B162" t="s">
        <v>226</v>
      </c>
      <c r="C162" t="s">
        <v>111</v>
      </c>
      <c r="D162">
        <v>75000</v>
      </c>
      <c r="E162">
        <v>178358</v>
      </c>
      <c r="F162">
        <v>15</v>
      </c>
      <c r="G162">
        <v>4.0999999999999996</v>
      </c>
      <c r="H162">
        <v>13</v>
      </c>
      <c r="I162" t="s">
        <v>93</v>
      </c>
    </row>
    <row r="163" spans="1:9">
      <c r="A163">
        <v>100162</v>
      </c>
      <c r="B163" t="s">
        <v>227</v>
      </c>
      <c r="C163" t="s">
        <v>111</v>
      </c>
      <c r="D163">
        <v>0</v>
      </c>
      <c r="E163">
        <v>59931</v>
      </c>
      <c r="F163">
        <v>19</v>
      </c>
      <c r="G163">
        <v>4.5</v>
      </c>
      <c r="H163">
        <v>14</v>
      </c>
      <c r="I163" t="s">
        <v>93</v>
      </c>
    </row>
    <row r="164" spans="1:9">
      <c r="A164">
        <v>100163</v>
      </c>
      <c r="B164" t="s">
        <v>228</v>
      </c>
      <c r="C164" t="s">
        <v>92</v>
      </c>
      <c r="D164">
        <v>50000</v>
      </c>
      <c r="E164">
        <v>168927</v>
      </c>
      <c r="F164">
        <v>16</v>
      </c>
      <c r="G164">
        <v>4.0999999999999996</v>
      </c>
      <c r="H164">
        <v>10</v>
      </c>
      <c r="I164" t="s">
        <v>93</v>
      </c>
    </row>
    <row r="165" spans="1:9">
      <c r="A165">
        <v>100164</v>
      </c>
      <c r="B165" t="s">
        <v>229</v>
      </c>
      <c r="C165" t="s">
        <v>111</v>
      </c>
      <c r="D165">
        <v>100000</v>
      </c>
      <c r="E165">
        <v>60890</v>
      </c>
      <c r="F165">
        <v>28</v>
      </c>
      <c r="G165">
        <v>4.3</v>
      </c>
      <c r="H165">
        <v>9</v>
      </c>
      <c r="I165" t="s">
        <v>93</v>
      </c>
    </row>
    <row r="166" spans="1:9">
      <c r="A166">
        <v>100165</v>
      </c>
      <c r="B166" t="s">
        <v>228</v>
      </c>
      <c r="C166" t="s">
        <v>111</v>
      </c>
      <c r="D166">
        <v>120000</v>
      </c>
      <c r="E166">
        <v>76661</v>
      </c>
      <c r="F166">
        <v>23</v>
      </c>
      <c r="G166">
        <v>4.9000000000000004</v>
      </c>
      <c r="H166">
        <v>3</v>
      </c>
      <c r="I166" t="s">
        <v>93</v>
      </c>
    </row>
    <row r="167" spans="1:9">
      <c r="A167">
        <v>100166</v>
      </c>
      <c r="B167" t="s">
        <v>175</v>
      </c>
      <c r="C167" t="s">
        <v>107</v>
      </c>
      <c r="D167">
        <v>0</v>
      </c>
      <c r="E167">
        <v>72688</v>
      </c>
      <c r="F167">
        <v>22</v>
      </c>
      <c r="G167">
        <v>3</v>
      </c>
      <c r="H167">
        <v>13</v>
      </c>
      <c r="I167" t="s">
        <v>50</v>
      </c>
    </row>
    <row r="168" spans="1:9">
      <c r="A168">
        <v>100167</v>
      </c>
      <c r="B168" t="s">
        <v>230</v>
      </c>
      <c r="C168" t="s">
        <v>107</v>
      </c>
      <c r="D168">
        <v>75000</v>
      </c>
      <c r="E168">
        <v>124943</v>
      </c>
      <c r="F168">
        <v>27</v>
      </c>
      <c r="G168">
        <v>4.9000000000000004</v>
      </c>
      <c r="H168">
        <v>9</v>
      </c>
      <c r="I168" t="s">
        <v>93</v>
      </c>
    </row>
    <row r="169" spans="1:9">
      <c r="A169">
        <v>100168</v>
      </c>
      <c r="B169" t="s">
        <v>231</v>
      </c>
      <c r="C169" t="s">
        <v>92</v>
      </c>
      <c r="D169">
        <v>75000</v>
      </c>
      <c r="E169">
        <v>50203</v>
      </c>
      <c r="F169">
        <v>22</v>
      </c>
      <c r="G169">
        <v>4.2</v>
      </c>
      <c r="H169">
        <v>1</v>
      </c>
      <c r="I169" t="s">
        <v>93</v>
      </c>
    </row>
    <row r="170" spans="1:9">
      <c r="A170">
        <v>100169</v>
      </c>
      <c r="B170" t="s">
        <v>175</v>
      </c>
      <c r="C170" t="s">
        <v>107</v>
      </c>
      <c r="D170">
        <v>100000</v>
      </c>
      <c r="E170">
        <v>151236</v>
      </c>
      <c r="F170">
        <v>17</v>
      </c>
      <c r="G170">
        <v>3.9</v>
      </c>
      <c r="H170">
        <v>7</v>
      </c>
      <c r="I170" t="s">
        <v>93</v>
      </c>
    </row>
    <row r="171" spans="1:9">
      <c r="A171">
        <v>100170</v>
      </c>
      <c r="B171" t="s">
        <v>192</v>
      </c>
      <c r="C171" t="s">
        <v>107</v>
      </c>
      <c r="D171">
        <v>50000</v>
      </c>
      <c r="E171">
        <v>151442</v>
      </c>
      <c r="F171">
        <v>16</v>
      </c>
      <c r="G171">
        <v>3.8</v>
      </c>
      <c r="H171">
        <v>5</v>
      </c>
      <c r="I171" t="s">
        <v>93</v>
      </c>
    </row>
    <row r="172" spans="1:9">
      <c r="A172">
        <v>100171</v>
      </c>
      <c r="B172" t="s">
        <v>232</v>
      </c>
      <c r="C172" t="s">
        <v>107</v>
      </c>
      <c r="D172">
        <v>0</v>
      </c>
      <c r="E172">
        <v>114151</v>
      </c>
      <c r="F172">
        <v>28</v>
      </c>
      <c r="G172">
        <v>1.8</v>
      </c>
      <c r="H172">
        <v>13</v>
      </c>
      <c r="I172" t="s">
        <v>93</v>
      </c>
    </row>
    <row r="173" spans="1:9">
      <c r="A173">
        <v>100172</v>
      </c>
      <c r="B173" t="s">
        <v>233</v>
      </c>
      <c r="C173" t="s">
        <v>92</v>
      </c>
      <c r="D173">
        <v>0</v>
      </c>
      <c r="E173">
        <v>174864</v>
      </c>
      <c r="F173">
        <v>27</v>
      </c>
      <c r="G173">
        <v>3.3</v>
      </c>
      <c r="H173">
        <v>3</v>
      </c>
      <c r="I173" t="s">
        <v>93</v>
      </c>
    </row>
    <row r="174" spans="1:9">
      <c r="A174">
        <v>100173</v>
      </c>
      <c r="B174" t="s">
        <v>184</v>
      </c>
      <c r="C174" t="s">
        <v>95</v>
      </c>
      <c r="D174">
        <v>0</v>
      </c>
      <c r="E174">
        <v>155344</v>
      </c>
      <c r="F174">
        <v>30</v>
      </c>
      <c r="G174">
        <v>2.4</v>
      </c>
      <c r="H174">
        <v>6</v>
      </c>
      <c r="I174" t="s">
        <v>93</v>
      </c>
    </row>
    <row r="175" spans="1:9">
      <c r="A175">
        <v>100174</v>
      </c>
      <c r="B175" t="s">
        <v>234</v>
      </c>
      <c r="C175" t="s">
        <v>95</v>
      </c>
      <c r="D175">
        <v>150000</v>
      </c>
      <c r="E175">
        <v>165862</v>
      </c>
      <c r="F175">
        <v>19</v>
      </c>
      <c r="G175">
        <v>1.5</v>
      </c>
      <c r="H175">
        <v>7</v>
      </c>
      <c r="I175" t="s">
        <v>93</v>
      </c>
    </row>
    <row r="176" spans="1:9">
      <c r="A176">
        <v>100175</v>
      </c>
      <c r="B176" t="s">
        <v>235</v>
      </c>
      <c r="C176" t="s">
        <v>92</v>
      </c>
      <c r="D176">
        <v>120000</v>
      </c>
      <c r="E176">
        <v>141431</v>
      </c>
      <c r="F176">
        <v>20</v>
      </c>
      <c r="G176">
        <v>3.2</v>
      </c>
      <c r="H176">
        <v>1</v>
      </c>
      <c r="I176" t="s">
        <v>50</v>
      </c>
    </row>
    <row r="177" spans="1:9">
      <c r="A177">
        <v>100176</v>
      </c>
      <c r="B177" t="s">
        <v>177</v>
      </c>
      <c r="C177" t="s">
        <v>107</v>
      </c>
      <c r="D177">
        <v>100000</v>
      </c>
      <c r="E177">
        <v>167096</v>
      </c>
      <c r="F177">
        <v>21</v>
      </c>
      <c r="G177">
        <v>4.2</v>
      </c>
      <c r="H177">
        <v>11</v>
      </c>
      <c r="I177" t="s">
        <v>50</v>
      </c>
    </row>
    <row r="178" spans="1:9">
      <c r="A178">
        <v>100177</v>
      </c>
      <c r="B178" t="s">
        <v>236</v>
      </c>
      <c r="C178" t="s">
        <v>107</v>
      </c>
      <c r="D178">
        <v>0</v>
      </c>
      <c r="E178">
        <v>155557</v>
      </c>
      <c r="F178">
        <v>28</v>
      </c>
      <c r="G178">
        <v>1.5</v>
      </c>
      <c r="H178">
        <v>0</v>
      </c>
      <c r="I178" t="s">
        <v>93</v>
      </c>
    </row>
    <row r="179" spans="1:9">
      <c r="A179">
        <v>100178</v>
      </c>
      <c r="B179" t="s">
        <v>148</v>
      </c>
      <c r="C179" t="s">
        <v>111</v>
      </c>
      <c r="D179">
        <v>100000</v>
      </c>
      <c r="E179">
        <v>62144</v>
      </c>
      <c r="F179">
        <v>30</v>
      </c>
      <c r="G179">
        <v>2.2000000000000002</v>
      </c>
      <c r="H179">
        <v>7</v>
      </c>
      <c r="I179" t="s">
        <v>93</v>
      </c>
    </row>
    <row r="180" spans="1:9">
      <c r="A180">
        <v>100179</v>
      </c>
      <c r="B180" t="s">
        <v>237</v>
      </c>
      <c r="C180" t="s">
        <v>111</v>
      </c>
      <c r="D180">
        <v>50000</v>
      </c>
      <c r="E180">
        <v>77123</v>
      </c>
      <c r="F180">
        <v>20</v>
      </c>
      <c r="G180">
        <v>3.4</v>
      </c>
      <c r="H180">
        <v>12</v>
      </c>
      <c r="I180" t="s">
        <v>50</v>
      </c>
    </row>
    <row r="181" spans="1:9">
      <c r="A181">
        <v>100180</v>
      </c>
      <c r="B181" t="s">
        <v>238</v>
      </c>
      <c r="C181" t="s">
        <v>111</v>
      </c>
      <c r="D181">
        <v>120000</v>
      </c>
      <c r="E181">
        <v>69778</v>
      </c>
      <c r="F181">
        <v>28</v>
      </c>
      <c r="G181">
        <v>4.4000000000000004</v>
      </c>
      <c r="H181">
        <v>1</v>
      </c>
      <c r="I181" t="s">
        <v>93</v>
      </c>
    </row>
    <row r="182" spans="1:9">
      <c r="A182">
        <v>100181</v>
      </c>
      <c r="B182" t="s">
        <v>222</v>
      </c>
      <c r="C182" t="s">
        <v>92</v>
      </c>
      <c r="D182">
        <v>100000</v>
      </c>
      <c r="E182">
        <v>136960</v>
      </c>
      <c r="F182">
        <v>16</v>
      </c>
      <c r="G182">
        <v>2.7</v>
      </c>
      <c r="H182">
        <v>3</v>
      </c>
      <c r="I182" t="s">
        <v>93</v>
      </c>
    </row>
    <row r="183" spans="1:9">
      <c r="A183">
        <v>100182</v>
      </c>
      <c r="B183" t="s">
        <v>239</v>
      </c>
      <c r="C183" t="s">
        <v>111</v>
      </c>
      <c r="D183">
        <v>120000</v>
      </c>
      <c r="E183">
        <v>83269</v>
      </c>
      <c r="F183">
        <v>16</v>
      </c>
      <c r="G183">
        <v>3.5</v>
      </c>
      <c r="H183">
        <v>4</v>
      </c>
      <c r="I183" t="s">
        <v>93</v>
      </c>
    </row>
    <row r="184" spans="1:9">
      <c r="A184">
        <v>100183</v>
      </c>
      <c r="B184" t="s">
        <v>136</v>
      </c>
      <c r="C184" t="s">
        <v>92</v>
      </c>
      <c r="D184">
        <v>120000</v>
      </c>
      <c r="E184">
        <v>83724</v>
      </c>
      <c r="F184">
        <v>15</v>
      </c>
      <c r="G184">
        <v>2.9</v>
      </c>
      <c r="H184">
        <v>8</v>
      </c>
      <c r="I184" t="s">
        <v>93</v>
      </c>
    </row>
    <row r="185" spans="1:9">
      <c r="A185">
        <v>100184</v>
      </c>
      <c r="B185" t="s">
        <v>158</v>
      </c>
      <c r="C185" t="s">
        <v>111</v>
      </c>
      <c r="D185">
        <v>150000</v>
      </c>
      <c r="E185">
        <v>65081</v>
      </c>
      <c r="F185">
        <v>30</v>
      </c>
      <c r="G185">
        <v>4.5999999999999996</v>
      </c>
      <c r="H185">
        <v>13</v>
      </c>
      <c r="I185" t="s">
        <v>93</v>
      </c>
    </row>
    <row r="186" spans="1:9">
      <c r="A186">
        <v>100185</v>
      </c>
      <c r="B186" t="s">
        <v>198</v>
      </c>
      <c r="C186" t="s">
        <v>107</v>
      </c>
      <c r="D186">
        <v>150000</v>
      </c>
      <c r="E186">
        <v>170733</v>
      </c>
      <c r="F186">
        <v>18</v>
      </c>
      <c r="G186">
        <v>1.7</v>
      </c>
      <c r="H186">
        <v>1</v>
      </c>
      <c r="I186" t="s">
        <v>93</v>
      </c>
    </row>
    <row r="187" spans="1:9">
      <c r="A187">
        <v>100186</v>
      </c>
      <c r="B187" t="s">
        <v>108</v>
      </c>
      <c r="C187" t="s">
        <v>107</v>
      </c>
      <c r="D187">
        <v>150000</v>
      </c>
      <c r="E187">
        <v>46543</v>
      </c>
      <c r="F187">
        <v>15</v>
      </c>
      <c r="G187">
        <v>3.5</v>
      </c>
      <c r="H187">
        <v>12</v>
      </c>
      <c r="I187" t="s">
        <v>93</v>
      </c>
    </row>
    <row r="188" spans="1:9">
      <c r="A188">
        <v>100187</v>
      </c>
      <c r="B188" t="s">
        <v>240</v>
      </c>
      <c r="C188" t="s">
        <v>95</v>
      </c>
      <c r="D188">
        <v>0</v>
      </c>
      <c r="E188">
        <v>94414</v>
      </c>
      <c r="F188">
        <v>17</v>
      </c>
      <c r="G188">
        <v>4.2</v>
      </c>
      <c r="H188">
        <v>10</v>
      </c>
      <c r="I188" t="s">
        <v>93</v>
      </c>
    </row>
    <row r="189" spans="1:9">
      <c r="A189">
        <v>100188</v>
      </c>
      <c r="B189" t="s">
        <v>241</v>
      </c>
      <c r="C189" t="s">
        <v>111</v>
      </c>
      <c r="D189">
        <v>0</v>
      </c>
      <c r="E189">
        <v>128433</v>
      </c>
      <c r="F189">
        <v>18</v>
      </c>
      <c r="G189">
        <v>1.8</v>
      </c>
      <c r="H189">
        <v>8</v>
      </c>
      <c r="I189" t="s">
        <v>93</v>
      </c>
    </row>
    <row r="190" spans="1:9">
      <c r="A190">
        <v>100189</v>
      </c>
      <c r="B190" t="s">
        <v>103</v>
      </c>
      <c r="C190" t="s">
        <v>111</v>
      </c>
      <c r="D190">
        <v>150000</v>
      </c>
      <c r="E190">
        <v>79084</v>
      </c>
      <c r="F190">
        <v>20</v>
      </c>
      <c r="G190">
        <v>1.9</v>
      </c>
      <c r="H190">
        <v>12</v>
      </c>
      <c r="I190" t="s">
        <v>93</v>
      </c>
    </row>
    <row r="191" spans="1:9">
      <c r="A191">
        <v>100190</v>
      </c>
      <c r="B191" t="s">
        <v>242</v>
      </c>
      <c r="C191" t="s">
        <v>92</v>
      </c>
      <c r="D191">
        <v>0</v>
      </c>
      <c r="E191">
        <v>72771</v>
      </c>
      <c r="F191">
        <v>19</v>
      </c>
      <c r="G191">
        <v>2.9</v>
      </c>
      <c r="H191">
        <v>1</v>
      </c>
      <c r="I191" t="s">
        <v>93</v>
      </c>
    </row>
    <row r="192" spans="1:9">
      <c r="A192">
        <v>100191</v>
      </c>
      <c r="B192" t="s">
        <v>243</v>
      </c>
      <c r="C192" t="s">
        <v>111</v>
      </c>
      <c r="D192">
        <v>100000</v>
      </c>
      <c r="E192">
        <v>98854</v>
      </c>
      <c r="F192">
        <v>23</v>
      </c>
      <c r="G192">
        <v>1.9</v>
      </c>
      <c r="H192">
        <v>2</v>
      </c>
      <c r="I192" t="s">
        <v>93</v>
      </c>
    </row>
    <row r="193" spans="1:9">
      <c r="A193">
        <v>100192</v>
      </c>
      <c r="B193" t="s">
        <v>125</v>
      </c>
      <c r="C193" t="s">
        <v>111</v>
      </c>
      <c r="D193">
        <v>50000</v>
      </c>
      <c r="E193">
        <v>99036</v>
      </c>
      <c r="F193">
        <v>29</v>
      </c>
      <c r="G193">
        <v>4.5</v>
      </c>
      <c r="H193">
        <v>10</v>
      </c>
      <c r="I193" t="s">
        <v>93</v>
      </c>
    </row>
    <row r="194" spans="1:9">
      <c r="A194">
        <v>100193</v>
      </c>
      <c r="B194" t="s">
        <v>244</v>
      </c>
      <c r="C194" t="s">
        <v>92</v>
      </c>
      <c r="D194">
        <v>150000</v>
      </c>
      <c r="E194">
        <v>32698</v>
      </c>
      <c r="F194">
        <v>19</v>
      </c>
      <c r="G194">
        <v>2.1</v>
      </c>
      <c r="H194">
        <v>6</v>
      </c>
      <c r="I194" t="s">
        <v>93</v>
      </c>
    </row>
    <row r="195" spans="1:9">
      <c r="A195">
        <v>100194</v>
      </c>
      <c r="B195" t="s">
        <v>212</v>
      </c>
      <c r="C195" t="s">
        <v>111</v>
      </c>
      <c r="D195">
        <v>75000</v>
      </c>
      <c r="E195">
        <v>87589</v>
      </c>
      <c r="F195">
        <v>15</v>
      </c>
      <c r="G195">
        <v>4.0999999999999996</v>
      </c>
      <c r="H195">
        <v>2</v>
      </c>
      <c r="I195" t="s">
        <v>93</v>
      </c>
    </row>
    <row r="196" spans="1:9">
      <c r="A196">
        <v>100195</v>
      </c>
      <c r="B196" t="s">
        <v>245</v>
      </c>
      <c r="C196" t="s">
        <v>107</v>
      </c>
      <c r="D196">
        <v>120000</v>
      </c>
      <c r="E196">
        <v>143180</v>
      </c>
      <c r="F196">
        <v>29</v>
      </c>
      <c r="G196">
        <v>3.7</v>
      </c>
      <c r="H196">
        <v>7</v>
      </c>
      <c r="I196" t="s">
        <v>50</v>
      </c>
    </row>
    <row r="197" spans="1:9">
      <c r="A197">
        <v>100196</v>
      </c>
      <c r="B197" t="s">
        <v>246</v>
      </c>
      <c r="C197" t="s">
        <v>107</v>
      </c>
      <c r="D197">
        <v>100000</v>
      </c>
      <c r="E197">
        <v>73557</v>
      </c>
      <c r="F197">
        <v>29</v>
      </c>
      <c r="G197">
        <v>4.5</v>
      </c>
      <c r="H197">
        <v>9</v>
      </c>
      <c r="I197" t="s">
        <v>93</v>
      </c>
    </row>
    <row r="198" spans="1:9">
      <c r="A198">
        <v>100197</v>
      </c>
      <c r="B198" t="s">
        <v>189</v>
      </c>
      <c r="C198" t="s">
        <v>95</v>
      </c>
      <c r="D198">
        <v>100000</v>
      </c>
      <c r="E198">
        <v>50309</v>
      </c>
      <c r="F198">
        <v>30</v>
      </c>
      <c r="G198">
        <v>1.7</v>
      </c>
      <c r="H198">
        <v>11</v>
      </c>
      <c r="I198" t="s">
        <v>93</v>
      </c>
    </row>
    <row r="199" spans="1:9">
      <c r="A199">
        <v>100198</v>
      </c>
      <c r="B199" t="s">
        <v>247</v>
      </c>
      <c r="C199" t="s">
        <v>95</v>
      </c>
      <c r="D199">
        <v>120000</v>
      </c>
      <c r="E199">
        <v>35018</v>
      </c>
      <c r="F199">
        <v>25</v>
      </c>
      <c r="G199">
        <v>2.9</v>
      </c>
      <c r="H199">
        <v>14</v>
      </c>
      <c r="I199" t="s">
        <v>93</v>
      </c>
    </row>
    <row r="200" spans="1:9">
      <c r="A200">
        <v>100199</v>
      </c>
      <c r="B200" t="s">
        <v>192</v>
      </c>
      <c r="C200" t="s">
        <v>111</v>
      </c>
      <c r="D200">
        <v>150000</v>
      </c>
      <c r="E200">
        <v>122150</v>
      </c>
      <c r="F200">
        <v>27</v>
      </c>
      <c r="G200">
        <v>4.7</v>
      </c>
      <c r="H200">
        <v>11</v>
      </c>
      <c r="I200" t="s">
        <v>93</v>
      </c>
    </row>
    <row r="201" spans="1:9">
      <c r="A201">
        <v>100200</v>
      </c>
      <c r="B201" t="s">
        <v>228</v>
      </c>
      <c r="C201" t="s">
        <v>111</v>
      </c>
      <c r="D201">
        <v>75000</v>
      </c>
      <c r="E201">
        <v>163819</v>
      </c>
      <c r="F201">
        <v>20</v>
      </c>
      <c r="G201">
        <v>4.4000000000000004</v>
      </c>
      <c r="H201">
        <v>10</v>
      </c>
      <c r="I201" t="s">
        <v>93</v>
      </c>
    </row>
    <row r="202" spans="1:9">
      <c r="A202">
        <v>100201</v>
      </c>
      <c r="B202" t="s">
        <v>248</v>
      </c>
      <c r="C202" t="s">
        <v>107</v>
      </c>
      <c r="D202">
        <v>120000</v>
      </c>
      <c r="E202">
        <v>112692</v>
      </c>
      <c r="F202">
        <v>23</v>
      </c>
      <c r="G202">
        <v>5</v>
      </c>
      <c r="H202">
        <v>14</v>
      </c>
      <c r="I202" t="s">
        <v>50</v>
      </c>
    </row>
    <row r="203" spans="1:9">
      <c r="A203">
        <v>100202</v>
      </c>
      <c r="B203" t="s">
        <v>239</v>
      </c>
      <c r="C203" t="s">
        <v>111</v>
      </c>
      <c r="D203">
        <v>150000</v>
      </c>
      <c r="E203">
        <v>178328</v>
      </c>
      <c r="F203">
        <v>22</v>
      </c>
      <c r="G203">
        <v>2.4</v>
      </c>
      <c r="H203">
        <v>5</v>
      </c>
      <c r="I203" t="s">
        <v>93</v>
      </c>
    </row>
    <row r="204" spans="1:9">
      <c r="A204">
        <v>100203</v>
      </c>
      <c r="B204" t="s">
        <v>249</v>
      </c>
      <c r="C204" t="s">
        <v>95</v>
      </c>
      <c r="D204">
        <v>120000</v>
      </c>
      <c r="E204">
        <v>47115</v>
      </c>
      <c r="F204">
        <v>22</v>
      </c>
      <c r="G204">
        <v>2.5</v>
      </c>
      <c r="H204">
        <v>13</v>
      </c>
      <c r="I204" t="s">
        <v>93</v>
      </c>
    </row>
    <row r="205" spans="1:9">
      <c r="A205">
        <v>100204</v>
      </c>
      <c r="B205" t="s">
        <v>250</v>
      </c>
      <c r="C205" t="s">
        <v>107</v>
      </c>
      <c r="D205">
        <v>0</v>
      </c>
      <c r="E205">
        <v>36945</v>
      </c>
      <c r="F205">
        <v>19</v>
      </c>
      <c r="G205">
        <v>1.9</v>
      </c>
      <c r="H205">
        <v>9</v>
      </c>
      <c r="I205" t="s">
        <v>93</v>
      </c>
    </row>
    <row r="206" spans="1:9">
      <c r="A206">
        <v>100205</v>
      </c>
      <c r="B206" t="s">
        <v>193</v>
      </c>
      <c r="C206" t="s">
        <v>92</v>
      </c>
      <c r="D206">
        <v>120000</v>
      </c>
      <c r="E206">
        <v>56928</v>
      </c>
      <c r="F206">
        <v>22</v>
      </c>
      <c r="G206">
        <v>4.0999999999999996</v>
      </c>
      <c r="H206">
        <v>8</v>
      </c>
      <c r="I206" t="s">
        <v>93</v>
      </c>
    </row>
    <row r="207" spans="1:9">
      <c r="A207">
        <v>100206</v>
      </c>
      <c r="B207" t="s">
        <v>159</v>
      </c>
      <c r="C207" t="s">
        <v>111</v>
      </c>
      <c r="D207">
        <v>150000</v>
      </c>
      <c r="E207">
        <v>139662</v>
      </c>
      <c r="F207">
        <v>18</v>
      </c>
      <c r="G207">
        <v>2.8</v>
      </c>
      <c r="H207">
        <v>2</v>
      </c>
      <c r="I207" t="s">
        <v>93</v>
      </c>
    </row>
    <row r="208" spans="1:9">
      <c r="A208">
        <v>100207</v>
      </c>
      <c r="B208" t="s">
        <v>251</v>
      </c>
      <c r="C208" t="s">
        <v>92</v>
      </c>
      <c r="D208">
        <v>150000</v>
      </c>
      <c r="E208">
        <v>99641</v>
      </c>
      <c r="F208">
        <v>30</v>
      </c>
      <c r="G208">
        <v>4.5999999999999996</v>
      </c>
      <c r="H208">
        <v>15</v>
      </c>
      <c r="I208" t="s">
        <v>50</v>
      </c>
    </row>
    <row r="209" spans="1:9">
      <c r="A209">
        <v>100208</v>
      </c>
      <c r="B209" t="s">
        <v>252</v>
      </c>
      <c r="C209" t="s">
        <v>92</v>
      </c>
      <c r="D209">
        <v>120000</v>
      </c>
      <c r="E209">
        <v>116195</v>
      </c>
      <c r="F209">
        <v>17</v>
      </c>
      <c r="G209">
        <v>1.7</v>
      </c>
      <c r="H209">
        <v>7</v>
      </c>
      <c r="I209" t="s">
        <v>93</v>
      </c>
    </row>
    <row r="210" spans="1:9">
      <c r="A210">
        <v>100209</v>
      </c>
      <c r="B210" t="s">
        <v>253</v>
      </c>
      <c r="C210" t="s">
        <v>92</v>
      </c>
      <c r="D210">
        <v>150000</v>
      </c>
      <c r="E210">
        <v>141202</v>
      </c>
      <c r="F210">
        <v>21</v>
      </c>
      <c r="G210">
        <v>4.9000000000000004</v>
      </c>
      <c r="H210">
        <v>11</v>
      </c>
      <c r="I210" t="s">
        <v>93</v>
      </c>
    </row>
    <row r="211" spans="1:9">
      <c r="A211">
        <v>100210</v>
      </c>
      <c r="B211" t="s">
        <v>212</v>
      </c>
      <c r="C211" t="s">
        <v>92</v>
      </c>
      <c r="D211">
        <v>150000</v>
      </c>
      <c r="E211">
        <v>151774</v>
      </c>
      <c r="F211">
        <v>20</v>
      </c>
      <c r="G211">
        <v>4.7</v>
      </c>
      <c r="H211">
        <v>15</v>
      </c>
      <c r="I211" t="s">
        <v>93</v>
      </c>
    </row>
    <row r="212" spans="1:9">
      <c r="A212">
        <v>100211</v>
      </c>
      <c r="B212" t="s">
        <v>254</v>
      </c>
      <c r="C212" t="s">
        <v>111</v>
      </c>
      <c r="D212">
        <v>50000</v>
      </c>
      <c r="E212">
        <v>98972</v>
      </c>
      <c r="F212">
        <v>15</v>
      </c>
      <c r="G212">
        <v>1.8</v>
      </c>
      <c r="H212">
        <v>12</v>
      </c>
      <c r="I212" t="s">
        <v>93</v>
      </c>
    </row>
    <row r="213" spans="1:9">
      <c r="A213">
        <v>100212</v>
      </c>
      <c r="B213" t="s">
        <v>255</v>
      </c>
      <c r="C213" t="s">
        <v>111</v>
      </c>
      <c r="D213">
        <v>0</v>
      </c>
      <c r="E213">
        <v>127031</v>
      </c>
      <c r="F213">
        <v>15</v>
      </c>
      <c r="G213">
        <v>2.5</v>
      </c>
      <c r="H213">
        <v>2</v>
      </c>
      <c r="I213" t="s">
        <v>93</v>
      </c>
    </row>
    <row r="214" spans="1:9">
      <c r="A214">
        <v>100213</v>
      </c>
      <c r="B214" t="s">
        <v>151</v>
      </c>
      <c r="C214" t="s">
        <v>95</v>
      </c>
      <c r="D214">
        <v>100000</v>
      </c>
      <c r="E214">
        <v>69524</v>
      </c>
      <c r="F214">
        <v>19</v>
      </c>
      <c r="G214">
        <v>2.7</v>
      </c>
      <c r="H214">
        <v>14</v>
      </c>
      <c r="I214" t="s">
        <v>93</v>
      </c>
    </row>
    <row r="215" spans="1:9">
      <c r="A215">
        <v>100214</v>
      </c>
      <c r="B215" t="s">
        <v>256</v>
      </c>
      <c r="C215" t="s">
        <v>111</v>
      </c>
      <c r="D215">
        <v>100000</v>
      </c>
      <c r="E215">
        <v>41976</v>
      </c>
      <c r="F215">
        <v>22</v>
      </c>
      <c r="G215">
        <v>2.8</v>
      </c>
      <c r="H215">
        <v>4</v>
      </c>
      <c r="I215" t="s">
        <v>93</v>
      </c>
    </row>
    <row r="216" spans="1:9">
      <c r="A216">
        <v>100215</v>
      </c>
      <c r="B216" t="s">
        <v>175</v>
      </c>
      <c r="C216" t="s">
        <v>92</v>
      </c>
      <c r="D216">
        <v>75000</v>
      </c>
      <c r="E216">
        <v>148774</v>
      </c>
      <c r="F216">
        <v>17</v>
      </c>
      <c r="G216">
        <v>4.7</v>
      </c>
      <c r="H216">
        <v>6</v>
      </c>
      <c r="I216" t="s">
        <v>93</v>
      </c>
    </row>
    <row r="217" spans="1:9">
      <c r="A217">
        <v>100216</v>
      </c>
      <c r="B217" t="s">
        <v>257</v>
      </c>
      <c r="C217" t="s">
        <v>92</v>
      </c>
      <c r="D217">
        <v>0</v>
      </c>
      <c r="E217">
        <v>92570</v>
      </c>
      <c r="F217">
        <v>22</v>
      </c>
      <c r="G217">
        <v>2.2000000000000002</v>
      </c>
      <c r="H217">
        <v>6</v>
      </c>
      <c r="I217" t="s">
        <v>50</v>
      </c>
    </row>
    <row r="218" spans="1:9">
      <c r="A218">
        <v>100217</v>
      </c>
      <c r="B218" t="s">
        <v>258</v>
      </c>
      <c r="C218" t="s">
        <v>107</v>
      </c>
      <c r="D218">
        <v>0</v>
      </c>
      <c r="E218">
        <v>149030</v>
      </c>
      <c r="F218">
        <v>28</v>
      </c>
      <c r="G218">
        <v>4</v>
      </c>
      <c r="H218">
        <v>2</v>
      </c>
      <c r="I218" t="s">
        <v>93</v>
      </c>
    </row>
    <row r="219" spans="1:9">
      <c r="A219">
        <v>100218</v>
      </c>
      <c r="B219" t="s">
        <v>259</v>
      </c>
      <c r="C219" t="s">
        <v>92</v>
      </c>
      <c r="D219">
        <v>0</v>
      </c>
      <c r="E219">
        <v>165452</v>
      </c>
      <c r="F219">
        <v>16</v>
      </c>
      <c r="G219">
        <v>2.9</v>
      </c>
      <c r="H219">
        <v>8</v>
      </c>
      <c r="I219" t="s">
        <v>93</v>
      </c>
    </row>
    <row r="220" spans="1:9">
      <c r="A220">
        <v>100219</v>
      </c>
      <c r="B220" t="s">
        <v>253</v>
      </c>
      <c r="C220" t="s">
        <v>95</v>
      </c>
      <c r="D220">
        <v>120000</v>
      </c>
      <c r="E220">
        <v>115642</v>
      </c>
      <c r="F220">
        <v>25</v>
      </c>
      <c r="G220">
        <v>4.7</v>
      </c>
      <c r="H220">
        <v>12</v>
      </c>
      <c r="I220" t="s">
        <v>93</v>
      </c>
    </row>
    <row r="221" spans="1:9">
      <c r="A221">
        <v>100220</v>
      </c>
      <c r="B221" t="s">
        <v>185</v>
      </c>
      <c r="C221" t="s">
        <v>111</v>
      </c>
      <c r="D221">
        <v>150000</v>
      </c>
      <c r="E221">
        <v>157388</v>
      </c>
      <c r="F221">
        <v>30</v>
      </c>
      <c r="G221">
        <v>2.1</v>
      </c>
      <c r="H221">
        <v>1</v>
      </c>
      <c r="I221" t="s">
        <v>93</v>
      </c>
    </row>
    <row r="222" spans="1:9">
      <c r="A222">
        <v>100221</v>
      </c>
      <c r="B222" t="s">
        <v>135</v>
      </c>
      <c r="C222" t="s">
        <v>107</v>
      </c>
      <c r="D222">
        <v>50000</v>
      </c>
      <c r="E222">
        <v>125797</v>
      </c>
      <c r="F222">
        <v>15</v>
      </c>
      <c r="G222">
        <v>4.4000000000000004</v>
      </c>
      <c r="H222">
        <v>8</v>
      </c>
      <c r="I222" t="s">
        <v>93</v>
      </c>
    </row>
    <row r="223" spans="1:9">
      <c r="A223">
        <v>100222</v>
      </c>
      <c r="B223" t="s">
        <v>178</v>
      </c>
      <c r="C223" t="s">
        <v>95</v>
      </c>
      <c r="D223">
        <v>0</v>
      </c>
      <c r="E223">
        <v>112044</v>
      </c>
      <c r="F223">
        <v>17</v>
      </c>
      <c r="G223">
        <v>2.2999999999999998</v>
      </c>
      <c r="H223">
        <v>7</v>
      </c>
      <c r="I223" t="s">
        <v>93</v>
      </c>
    </row>
    <row r="224" spans="1:9">
      <c r="A224">
        <v>100223</v>
      </c>
      <c r="B224" t="s">
        <v>126</v>
      </c>
      <c r="C224" t="s">
        <v>111</v>
      </c>
      <c r="D224">
        <v>50000</v>
      </c>
      <c r="E224">
        <v>159237</v>
      </c>
      <c r="F224">
        <v>19</v>
      </c>
      <c r="G224">
        <v>4.2</v>
      </c>
      <c r="H224">
        <v>5</v>
      </c>
      <c r="I224" t="s">
        <v>93</v>
      </c>
    </row>
    <row r="225" spans="1:9">
      <c r="A225">
        <v>100224</v>
      </c>
      <c r="B225" t="s">
        <v>260</v>
      </c>
      <c r="C225" t="s">
        <v>111</v>
      </c>
      <c r="D225">
        <v>75000</v>
      </c>
      <c r="E225">
        <v>104038</v>
      </c>
      <c r="F225">
        <v>18</v>
      </c>
      <c r="G225">
        <v>2.5</v>
      </c>
      <c r="H225">
        <v>15</v>
      </c>
      <c r="I225" t="s">
        <v>93</v>
      </c>
    </row>
    <row r="226" spans="1:9">
      <c r="A226">
        <v>100225</v>
      </c>
      <c r="B226" t="s">
        <v>145</v>
      </c>
      <c r="C226" t="s">
        <v>107</v>
      </c>
      <c r="D226">
        <v>0</v>
      </c>
      <c r="E226">
        <v>83539</v>
      </c>
      <c r="F226">
        <v>21</v>
      </c>
      <c r="G226">
        <v>4.4000000000000004</v>
      </c>
      <c r="H226">
        <v>0</v>
      </c>
      <c r="I226" t="s">
        <v>93</v>
      </c>
    </row>
    <row r="227" spans="1:9">
      <c r="A227">
        <v>100226</v>
      </c>
      <c r="B227" t="s">
        <v>261</v>
      </c>
      <c r="C227" t="s">
        <v>95</v>
      </c>
      <c r="D227">
        <v>150000</v>
      </c>
      <c r="E227">
        <v>42279</v>
      </c>
      <c r="F227">
        <v>21</v>
      </c>
      <c r="G227">
        <v>2.8</v>
      </c>
      <c r="H227">
        <v>10</v>
      </c>
      <c r="I227" t="s">
        <v>50</v>
      </c>
    </row>
    <row r="228" spans="1:9">
      <c r="A228">
        <v>100227</v>
      </c>
      <c r="B228" t="s">
        <v>170</v>
      </c>
      <c r="C228" t="s">
        <v>95</v>
      </c>
      <c r="D228">
        <v>150000</v>
      </c>
      <c r="E228">
        <v>104591</v>
      </c>
      <c r="F228">
        <v>27</v>
      </c>
      <c r="G228">
        <v>5</v>
      </c>
      <c r="H228">
        <v>13</v>
      </c>
      <c r="I228" t="s">
        <v>93</v>
      </c>
    </row>
    <row r="229" spans="1:9">
      <c r="A229">
        <v>100228</v>
      </c>
      <c r="B229" t="s">
        <v>186</v>
      </c>
      <c r="C229" t="s">
        <v>111</v>
      </c>
      <c r="D229">
        <v>50000</v>
      </c>
      <c r="E229">
        <v>147576</v>
      </c>
      <c r="F229">
        <v>16</v>
      </c>
      <c r="G229">
        <v>2.8</v>
      </c>
      <c r="H229">
        <v>3</v>
      </c>
      <c r="I229" t="s">
        <v>93</v>
      </c>
    </row>
    <row r="230" spans="1:9">
      <c r="A230">
        <v>100229</v>
      </c>
      <c r="B230" t="s">
        <v>245</v>
      </c>
      <c r="C230" t="s">
        <v>95</v>
      </c>
      <c r="D230">
        <v>0</v>
      </c>
      <c r="E230">
        <v>44128</v>
      </c>
      <c r="F230">
        <v>21</v>
      </c>
      <c r="G230">
        <v>2.2000000000000002</v>
      </c>
      <c r="H230">
        <v>6</v>
      </c>
      <c r="I230" t="s">
        <v>93</v>
      </c>
    </row>
    <row r="231" spans="1:9">
      <c r="A231">
        <v>100230</v>
      </c>
      <c r="B231" t="s">
        <v>185</v>
      </c>
      <c r="C231" t="s">
        <v>95</v>
      </c>
      <c r="D231">
        <v>100000</v>
      </c>
      <c r="E231">
        <v>104625</v>
      </c>
      <c r="F231">
        <v>18</v>
      </c>
      <c r="G231">
        <v>3.1</v>
      </c>
      <c r="H231">
        <v>11</v>
      </c>
      <c r="I231" t="s">
        <v>50</v>
      </c>
    </row>
    <row r="232" spans="1:9">
      <c r="A232">
        <v>100231</v>
      </c>
      <c r="B232" t="s">
        <v>106</v>
      </c>
      <c r="C232" t="s">
        <v>95</v>
      </c>
      <c r="D232">
        <v>100000</v>
      </c>
      <c r="E232">
        <v>173552</v>
      </c>
      <c r="F232">
        <v>16</v>
      </c>
      <c r="G232">
        <v>3.3</v>
      </c>
      <c r="H232">
        <v>3</v>
      </c>
      <c r="I232" t="s">
        <v>50</v>
      </c>
    </row>
    <row r="233" spans="1:9">
      <c r="A233">
        <v>100232</v>
      </c>
      <c r="B233" t="s">
        <v>262</v>
      </c>
      <c r="C233" t="s">
        <v>107</v>
      </c>
      <c r="D233">
        <v>100000</v>
      </c>
      <c r="E233">
        <v>61560</v>
      </c>
      <c r="F233">
        <v>15</v>
      </c>
      <c r="G233">
        <v>3.4</v>
      </c>
      <c r="H233">
        <v>12</v>
      </c>
      <c r="I233" t="s">
        <v>93</v>
      </c>
    </row>
    <row r="234" spans="1:9">
      <c r="A234">
        <v>100233</v>
      </c>
      <c r="B234" t="s">
        <v>263</v>
      </c>
      <c r="C234" t="s">
        <v>92</v>
      </c>
      <c r="D234">
        <v>75000</v>
      </c>
      <c r="E234">
        <v>61002</v>
      </c>
      <c r="F234">
        <v>22</v>
      </c>
      <c r="G234">
        <v>4.9000000000000004</v>
      </c>
      <c r="H234">
        <v>11</v>
      </c>
      <c r="I234" t="s">
        <v>93</v>
      </c>
    </row>
    <row r="235" spans="1:9">
      <c r="A235">
        <v>100234</v>
      </c>
      <c r="B235" t="s">
        <v>230</v>
      </c>
      <c r="C235" t="s">
        <v>111</v>
      </c>
      <c r="D235">
        <v>0</v>
      </c>
      <c r="E235">
        <v>73332</v>
      </c>
      <c r="F235">
        <v>28</v>
      </c>
      <c r="G235">
        <v>3.3</v>
      </c>
      <c r="H235">
        <v>8</v>
      </c>
      <c r="I235" t="s">
        <v>93</v>
      </c>
    </row>
    <row r="236" spans="1:9">
      <c r="A236">
        <v>100235</v>
      </c>
      <c r="B236" t="s">
        <v>230</v>
      </c>
      <c r="C236" t="s">
        <v>95</v>
      </c>
      <c r="D236">
        <v>100000</v>
      </c>
      <c r="E236">
        <v>170531</v>
      </c>
      <c r="F236">
        <v>19</v>
      </c>
      <c r="G236">
        <v>4.7</v>
      </c>
      <c r="H236">
        <v>14</v>
      </c>
      <c r="I236" t="s">
        <v>93</v>
      </c>
    </row>
    <row r="237" spans="1:9">
      <c r="A237">
        <v>100236</v>
      </c>
      <c r="B237" t="s">
        <v>204</v>
      </c>
      <c r="C237" t="s">
        <v>92</v>
      </c>
      <c r="D237">
        <v>120000</v>
      </c>
      <c r="E237">
        <v>53761</v>
      </c>
      <c r="F237">
        <v>19</v>
      </c>
      <c r="G237">
        <v>3.8</v>
      </c>
      <c r="H237">
        <v>12</v>
      </c>
      <c r="I237" t="s">
        <v>93</v>
      </c>
    </row>
    <row r="238" spans="1:9">
      <c r="A238">
        <v>100237</v>
      </c>
      <c r="B238" t="s">
        <v>264</v>
      </c>
      <c r="C238" t="s">
        <v>111</v>
      </c>
      <c r="D238">
        <v>120000</v>
      </c>
      <c r="E238">
        <v>75417</v>
      </c>
      <c r="F238">
        <v>26</v>
      </c>
      <c r="G238">
        <v>4.9000000000000004</v>
      </c>
      <c r="H238">
        <v>1</v>
      </c>
      <c r="I238" t="s">
        <v>93</v>
      </c>
    </row>
    <row r="239" spans="1:9">
      <c r="A239">
        <v>100238</v>
      </c>
      <c r="B239" t="s">
        <v>265</v>
      </c>
      <c r="C239" t="s">
        <v>107</v>
      </c>
      <c r="D239">
        <v>0</v>
      </c>
      <c r="E239">
        <v>124850</v>
      </c>
      <c r="F239">
        <v>28</v>
      </c>
      <c r="G239">
        <v>3.9</v>
      </c>
      <c r="H239">
        <v>10</v>
      </c>
      <c r="I239" t="s">
        <v>93</v>
      </c>
    </row>
    <row r="240" spans="1:9">
      <c r="A240">
        <v>100239</v>
      </c>
      <c r="B240" t="s">
        <v>236</v>
      </c>
      <c r="C240" t="s">
        <v>95</v>
      </c>
      <c r="D240">
        <v>50000</v>
      </c>
      <c r="E240">
        <v>55688</v>
      </c>
      <c r="F240">
        <v>24</v>
      </c>
      <c r="G240">
        <v>3.2</v>
      </c>
      <c r="H240">
        <v>4</v>
      </c>
      <c r="I240" t="s">
        <v>93</v>
      </c>
    </row>
    <row r="241" spans="1:9">
      <c r="A241">
        <v>100240</v>
      </c>
      <c r="B241" t="s">
        <v>266</v>
      </c>
      <c r="C241" t="s">
        <v>95</v>
      </c>
      <c r="D241">
        <v>75000</v>
      </c>
      <c r="E241">
        <v>50267</v>
      </c>
      <c r="F241">
        <v>18</v>
      </c>
      <c r="G241">
        <v>4.5999999999999996</v>
      </c>
      <c r="H241">
        <v>9</v>
      </c>
      <c r="I241" t="s">
        <v>93</v>
      </c>
    </row>
    <row r="242" spans="1:9">
      <c r="A242">
        <v>100241</v>
      </c>
      <c r="B242" t="s">
        <v>229</v>
      </c>
      <c r="C242" t="s">
        <v>111</v>
      </c>
      <c r="D242">
        <v>150000</v>
      </c>
      <c r="E242">
        <v>56270</v>
      </c>
      <c r="F242">
        <v>26</v>
      </c>
      <c r="G242">
        <v>1.8</v>
      </c>
      <c r="H242">
        <v>11</v>
      </c>
      <c r="I242" t="s">
        <v>50</v>
      </c>
    </row>
    <row r="243" spans="1:9">
      <c r="A243">
        <v>100242</v>
      </c>
      <c r="B243" t="s">
        <v>125</v>
      </c>
      <c r="C243" t="s">
        <v>107</v>
      </c>
      <c r="D243">
        <v>0</v>
      </c>
      <c r="E243">
        <v>56393</v>
      </c>
      <c r="F243">
        <v>23</v>
      </c>
      <c r="G243">
        <v>2</v>
      </c>
      <c r="H243">
        <v>13</v>
      </c>
      <c r="I243" t="s">
        <v>93</v>
      </c>
    </row>
    <row r="244" spans="1:9">
      <c r="A244">
        <v>100243</v>
      </c>
      <c r="B244" t="s">
        <v>220</v>
      </c>
      <c r="C244" t="s">
        <v>107</v>
      </c>
      <c r="D244">
        <v>0</v>
      </c>
      <c r="E244">
        <v>100507</v>
      </c>
      <c r="F244">
        <v>19</v>
      </c>
      <c r="G244">
        <v>4.7</v>
      </c>
      <c r="H244">
        <v>13</v>
      </c>
      <c r="I244" t="s">
        <v>93</v>
      </c>
    </row>
    <row r="245" spans="1:9">
      <c r="A245">
        <v>100244</v>
      </c>
      <c r="B245" t="s">
        <v>234</v>
      </c>
      <c r="C245" t="s">
        <v>95</v>
      </c>
      <c r="D245">
        <v>150000</v>
      </c>
      <c r="E245">
        <v>162042</v>
      </c>
      <c r="F245">
        <v>24</v>
      </c>
      <c r="G245">
        <v>4.5</v>
      </c>
      <c r="H245">
        <v>7</v>
      </c>
      <c r="I245" t="s">
        <v>50</v>
      </c>
    </row>
    <row r="246" spans="1:9">
      <c r="A246">
        <v>100245</v>
      </c>
      <c r="B246" t="s">
        <v>148</v>
      </c>
      <c r="C246" t="s">
        <v>92</v>
      </c>
      <c r="D246">
        <v>120000</v>
      </c>
      <c r="E246">
        <v>87995</v>
      </c>
      <c r="F246">
        <v>19</v>
      </c>
      <c r="G246">
        <v>2.2000000000000002</v>
      </c>
      <c r="H246">
        <v>7</v>
      </c>
      <c r="I246" t="s">
        <v>93</v>
      </c>
    </row>
    <row r="247" spans="1:9">
      <c r="A247">
        <v>100246</v>
      </c>
      <c r="B247" t="s">
        <v>165</v>
      </c>
      <c r="C247" t="s">
        <v>107</v>
      </c>
      <c r="D247">
        <v>75000</v>
      </c>
      <c r="E247">
        <v>66692</v>
      </c>
      <c r="F247">
        <v>26</v>
      </c>
      <c r="G247">
        <v>2.2999999999999998</v>
      </c>
      <c r="H247">
        <v>9</v>
      </c>
      <c r="I247" t="s">
        <v>50</v>
      </c>
    </row>
    <row r="248" spans="1:9">
      <c r="A248">
        <v>100247</v>
      </c>
      <c r="B248" t="s">
        <v>267</v>
      </c>
      <c r="C248" t="s">
        <v>111</v>
      </c>
      <c r="D248">
        <v>120000</v>
      </c>
      <c r="E248">
        <v>157103</v>
      </c>
      <c r="F248">
        <v>24</v>
      </c>
      <c r="G248">
        <v>2.8</v>
      </c>
      <c r="H248">
        <v>11</v>
      </c>
      <c r="I248" t="s">
        <v>93</v>
      </c>
    </row>
    <row r="249" spans="1:9">
      <c r="A249">
        <v>100248</v>
      </c>
      <c r="B249" t="s">
        <v>268</v>
      </c>
      <c r="C249" t="s">
        <v>92</v>
      </c>
      <c r="D249">
        <v>75000</v>
      </c>
      <c r="E249">
        <v>86736</v>
      </c>
      <c r="F249">
        <v>27</v>
      </c>
      <c r="G249">
        <v>1.7</v>
      </c>
      <c r="H249">
        <v>2</v>
      </c>
      <c r="I249" t="s">
        <v>93</v>
      </c>
    </row>
    <row r="250" spans="1:9">
      <c r="A250">
        <v>100249</v>
      </c>
      <c r="B250" t="s">
        <v>254</v>
      </c>
      <c r="C250" t="s">
        <v>92</v>
      </c>
      <c r="D250">
        <v>75000</v>
      </c>
      <c r="E250">
        <v>40396</v>
      </c>
      <c r="F250">
        <v>24</v>
      </c>
      <c r="G250">
        <v>3.9</v>
      </c>
      <c r="H250">
        <v>10</v>
      </c>
      <c r="I250" t="s">
        <v>93</v>
      </c>
    </row>
    <row r="251" spans="1:9">
      <c r="A251">
        <v>100250</v>
      </c>
      <c r="B251" t="s">
        <v>163</v>
      </c>
      <c r="C251" t="s">
        <v>95</v>
      </c>
      <c r="D251">
        <v>75000</v>
      </c>
      <c r="E251">
        <v>162051</v>
      </c>
      <c r="F251">
        <v>30</v>
      </c>
      <c r="G251">
        <v>2.1</v>
      </c>
      <c r="H251">
        <v>4</v>
      </c>
      <c r="I251" t="s">
        <v>93</v>
      </c>
    </row>
    <row r="252" spans="1:9">
      <c r="A252">
        <v>100251</v>
      </c>
      <c r="B252" t="s">
        <v>269</v>
      </c>
      <c r="C252" t="s">
        <v>95</v>
      </c>
      <c r="D252">
        <v>100000</v>
      </c>
      <c r="E252">
        <v>103878</v>
      </c>
      <c r="F252">
        <v>24</v>
      </c>
      <c r="G252">
        <v>2.7</v>
      </c>
      <c r="H252">
        <v>1</v>
      </c>
      <c r="I252" t="s">
        <v>50</v>
      </c>
    </row>
    <row r="253" spans="1:9">
      <c r="A253">
        <v>100252</v>
      </c>
      <c r="B253" t="s">
        <v>270</v>
      </c>
      <c r="C253" t="s">
        <v>95</v>
      </c>
      <c r="D253">
        <v>120000</v>
      </c>
      <c r="E253">
        <v>150877</v>
      </c>
      <c r="F253">
        <v>16</v>
      </c>
      <c r="G253">
        <v>1.6</v>
      </c>
      <c r="H253">
        <v>4</v>
      </c>
      <c r="I253" t="s">
        <v>93</v>
      </c>
    </row>
    <row r="254" spans="1:9">
      <c r="A254">
        <v>100253</v>
      </c>
      <c r="B254" t="s">
        <v>222</v>
      </c>
      <c r="C254" t="s">
        <v>95</v>
      </c>
      <c r="D254">
        <v>75000</v>
      </c>
      <c r="E254">
        <v>135736</v>
      </c>
      <c r="F254">
        <v>29</v>
      </c>
      <c r="G254">
        <v>3</v>
      </c>
      <c r="H254">
        <v>15</v>
      </c>
      <c r="I254" t="s">
        <v>93</v>
      </c>
    </row>
    <row r="255" spans="1:9">
      <c r="A255">
        <v>100254</v>
      </c>
      <c r="B255" t="s">
        <v>271</v>
      </c>
      <c r="C255" t="s">
        <v>95</v>
      </c>
      <c r="D255">
        <v>0</v>
      </c>
      <c r="E255">
        <v>160728</v>
      </c>
      <c r="F255">
        <v>24</v>
      </c>
      <c r="G255">
        <v>2.4</v>
      </c>
      <c r="H255">
        <v>2</v>
      </c>
      <c r="I255" t="s">
        <v>93</v>
      </c>
    </row>
    <row r="256" spans="1:9">
      <c r="A256">
        <v>100255</v>
      </c>
      <c r="B256" t="s">
        <v>265</v>
      </c>
      <c r="C256" t="s">
        <v>95</v>
      </c>
      <c r="D256">
        <v>120000</v>
      </c>
      <c r="E256">
        <v>76046</v>
      </c>
      <c r="F256">
        <v>19</v>
      </c>
      <c r="G256">
        <v>2</v>
      </c>
      <c r="H256">
        <v>10</v>
      </c>
      <c r="I256" t="s">
        <v>50</v>
      </c>
    </row>
    <row r="257" spans="1:9">
      <c r="A257">
        <v>100256</v>
      </c>
      <c r="B257" t="s">
        <v>188</v>
      </c>
      <c r="C257" t="s">
        <v>95</v>
      </c>
      <c r="D257">
        <v>50000</v>
      </c>
      <c r="E257">
        <v>153297</v>
      </c>
      <c r="F257">
        <v>26</v>
      </c>
      <c r="G257">
        <v>2.9</v>
      </c>
      <c r="H257">
        <v>10</v>
      </c>
      <c r="I257" t="s">
        <v>93</v>
      </c>
    </row>
    <row r="258" spans="1:9">
      <c r="A258">
        <v>100257</v>
      </c>
      <c r="B258" t="s">
        <v>272</v>
      </c>
      <c r="C258" t="s">
        <v>107</v>
      </c>
      <c r="D258">
        <v>50000</v>
      </c>
      <c r="E258">
        <v>79669</v>
      </c>
      <c r="F258">
        <v>25</v>
      </c>
      <c r="G258">
        <v>2.5</v>
      </c>
      <c r="H258">
        <v>8</v>
      </c>
      <c r="I258" t="s">
        <v>93</v>
      </c>
    </row>
    <row r="259" spans="1:9">
      <c r="A259">
        <v>100258</v>
      </c>
      <c r="B259" t="s">
        <v>142</v>
      </c>
      <c r="C259" t="s">
        <v>107</v>
      </c>
      <c r="D259">
        <v>100000</v>
      </c>
      <c r="E259">
        <v>165496</v>
      </c>
      <c r="F259">
        <v>18</v>
      </c>
      <c r="G259">
        <v>3.3</v>
      </c>
      <c r="H259">
        <v>0</v>
      </c>
      <c r="I259" t="s">
        <v>93</v>
      </c>
    </row>
    <row r="260" spans="1:9">
      <c r="A260">
        <v>100259</v>
      </c>
      <c r="B260" t="s">
        <v>273</v>
      </c>
      <c r="C260" t="s">
        <v>107</v>
      </c>
      <c r="D260">
        <v>0</v>
      </c>
      <c r="E260">
        <v>59344</v>
      </c>
      <c r="F260">
        <v>25</v>
      </c>
      <c r="G260">
        <v>3.9</v>
      </c>
      <c r="H260">
        <v>2</v>
      </c>
      <c r="I260" t="s">
        <v>93</v>
      </c>
    </row>
    <row r="261" spans="1:9">
      <c r="A261">
        <v>100260</v>
      </c>
      <c r="B261" t="s">
        <v>274</v>
      </c>
      <c r="C261" t="s">
        <v>111</v>
      </c>
      <c r="D261">
        <v>75000</v>
      </c>
      <c r="E261">
        <v>37441</v>
      </c>
      <c r="F261">
        <v>19</v>
      </c>
      <c r="G261">
        <v>1.8</v>
      </c>
      <c r="H261">
        <v>0</v>
      </c>
      <c r="I261" t="s">
        <v>93</v>
      </c>
    </row>
    <row r="262" spans="1:9">
      <c r="A262">
        <v>100261</v>
      </c>
      <c r="B262" t="s">
        <v>186</v>
      </c>
      <c r="C262" t="s">
        <v>95</v>
      </c>
      <c r="D262">
        <v>120000</v>
      </c>
      <c r="E262">
        <v>78571</v>
      </c>
      <c r="F262">
        <v>18</v>
      </c>
      <c r="G262">
        <v>4.3</v>
      </c>
      <c r="H262">
        <v>2</v>
      </c>
      <c r="I262" t="s">
        <v>93</v>
      </c>
    </row>
    <row r="263" spans="1:9">
      <c r="A263">
        <v>100262</v>
      </c>
      <c r="B263" t="s">
        <v>273</v>
      </c>
      <c r="C263" t="s">
        <v>111</v>
      </c>
      <c r="D263">
        <v>75000</v>
      </c>
      <c r="E263">
        <v>98913</v>
      </c>
      <c r="F263">
        <v>26</v>
      </c>
      <c r="G263">
        <v>2.6</v>
      </c>
      <c r="H263">
        <v>11</v>
      </c>
      <c r="I263" t="s">
        <v>93</v>
      </c>
    </row>
    <row r="264" spans="1:9">
      <c r="A264">
        <v>100263</v>
      </c>
      <c r="B264" t="s">
        <v>275</v>
      </c>
      <c r="C264" t="s">
        <v>95</v>
      </c>
      <c r="D264">
        <v>75000</v>
      </c>
      <c r="E264">
        <v>120793</v>
      </c>
      <c r="F264">
        <v>25</v>
      </c>
      <c r="G264">
        <v>2</v>
      </c>
      <c r="H264">
        <v>8</v>
      </c>
      <c r="I264" t="s">
        <v>50</v>
      </c>
    </row>
    <row r="265" spans="1:9">
      <c r="A265">
        <v>100264</v>
      </c>
      <c r="B265" t="s">
        <v>159</v>
      </c>
      <c r="C265" t="s">
        <v>95</v>
      </c>
      <c r="D265">
        <v>0</v>
      </c>
      <c r="E265">
        <v>165886</v>
      </c>
      <c r="F265">
        <v>15</v>
      </c>
      <c r="G265">
        <v>1.9</v>
      </c>
      <c r="H265">
        <v>8</v>
      </c>
      <c r="I265" t="s">
        <v>93</v>
      </c>
    </row>
    <row r="266" spans="1:9">
      <c r="A266">
        <v>100265</v>
      </c>
      <c r="B266" t="s">
        <v>176</v>
      </c>
      <c r="C266" t="s">
        <v>111</v>
      </c>
      <c r="D266">
        <v>100000</v>
      </c>
      <c r="E266">
        <v>56733</v>
      </c>
      <c r="F266">
        <v>21</v>
      </c>
      <c r="G266">
        <v>2.7</v>
      </c>
      <c r="H266">
        <v>10</v>
      </c>
      <c r="I266" t="s">
        <v>93</v>
      </c>
    </row>
    <row r="267" spans="1:9">
      <c r="A267">
        <v>100266</v>
      </c>
      <c r="B267" t="s">
        <v>172</v>
      </c>
      <c r="C267" t="s">
        <v>92</v>
      </c>
      <c r="D267">
        <v>50000</v>
      </c>
      <c r="E267">
        <v>106404</v>
      </c>
      <c r="F267">
        <v>18</v>
      </c>
      <c r="G267">
        <v>3.4</v>
      </c>
      <c r="H267">
        <v>0</v>
      </c>
      <c r="I267" t="s">
        <v>93</v>
      </c>
    </row>
    <row r="268" spans="1:9">
      <c r="A268">
        <v>100267</v>
      </c>
      <c r="B268" t="s">
        <v>276</v>
      </c>
      <c r="C268" t="s">
        <v>111</v>
      </c>
      <c r="D268">
        <v>75000</v>
      </c>
      <c r="E268">
        <v>159500</v>
      </c>
      <c r="F268">
        <v>17</v>
      </c>
      <c r="G268">
        <v>1.8</v>
      </c>
      <c r="H268">
        <v>1</v>
      </c>
      <c r="I268" t="s">
        <v>93</v>
      </c>
    </row>
    <row r="269" spans="1:9">
      <c r="A269">
        <v>100268</v>
      </c>
      <c r="B269" t="s">
        <v>277</v>
      </c>
      <c r="C269" t="s">
        <v>95</v>
      </c>
      <c r="D269">
        <v>50000</v>
      </c>
      <c r="E269">
        <v>62827</v>
      </c>
      <c r="F269">
        <v>25</v>
      </c>
      <c r="G269">
        <v>2.6</v>
      </c>
      <c r="H269">
        <v>13</v>
      </c>
      <c r="I269" t="s">
        <v>93</v>
      </c>
    </row>
    <row r="270" spans="1:9">
      <c r="A270">
        <v>100269</v>
      </c>
      <c r="B270" t="s">
        <v>278</v>
      </c>
      <c r="C270" t="s">
        <v>92</v>
      </c>
      <c r="D270">
        <v>150000</v>
      </c>
      <c r="E270">
        <v>44973</v>
      </c>
      <c r="F270">
        <v>20</v>
      </c>
      <c r="G270">
        <v>1.8</v>
      </c>
      <c r="H270">
        <v>1</v>
      </c>
      <c r="I270" t="s">
        <v>93</v>
      </c>
    </row>
    <row r="271" spans="1:9">
      <c r="A271">
        <v>100270</v>
      </c>
      <c r="B271" t="s">
        <v>279</v>
      </c>
      <c r="C271" t="s">
        <v>92</v>
      </c>
      <c r="D271">
        <v>75000</v>
      </c>
      <c r="E271">
        <v>36364</v>
      </c>
      <c r="F271">
        <v>21</v>
      </c>
      <c r="G271">
        <v>4.2</v>
      </c>
      <c r="H271">
        <v>2</v>
      </c>
      <c r="I271" t="s">
        <v>50</v>
      </c>
    </row>
    <row r="272" spans="1:9">
      <c r="A272">
        <v>100271</v>
      </c>
      <c r="B272" t="s">
        <v>280</v>
      </c>
      <c r="C272" t="s">
        <v>95</v>
      </c>
      <c r="D272">
        <v>120000</v>
      </c>
      <c r="E272">
        <v>98987</v>
      </c>
      <c r="F272">
        <v>20</v>
      </c>
      <c r="G272">
        <v>3</v>
      </c>
      <c r="H272">
        <v>12</v>
      </c>
      <c r="I272" t="s">
        <v>93</v>
      </c>
    </row>
    <row r="273" spans="1:9">
      <c r="A273">
        <v>100272</v>
      </c>
      <c r="B273" t="s">
        <v>145</v>
      </c>
      <c r="C273" t="s">
        <v>95</v>
      </c>
      <c r="D273">
        <v>75000</v>
      </c>
      <c r="E273">
        <v>148125</v>
      </c>
      <c r="F273">
        <v>23</v>
      </c>
      <c r="G273">
        <v>4.7</v>
      </c>
      <c r="H273">
        <v>1</v>
      </c>
      <c r="I273" t="s">
        <v>93</v>
      </c>
    </row>
    <row r="274" spans="1:9">
      <c r="A274">
        <v>100273</v>
      </c>
      <c r="B274" t="s">
        <v>117</v>
      </c>
      <c r="C274" t="s">
        <v>95</v>
      </c>
      <c r="D274">
        <v>150000</v>
      </c>
      <c r="E274">
        <v>174075</v>
      </c>
      <c r="F274">
        <v>23</v>
      </c>
      <c r="G274">
        <v>1.9</v>
      </c>
      <c r="H274">
        <v>10</v>
      </c>
      <c r="I274" t="s">
        <v>93</v>
      </c>
    </row>
    <row r="275" spans="1:9">
      <c r="A275">
        <v>100274</v>
      </c>
      <c r="B275" t="s">
        <v>281</v>
      </c>
      <c r="C275" t="s">
        <v>107</v>
      </c>
      <c r="D275">
        <v>150000</v>
      </c>
      <c r="E275">
        <v>54583</v>
      </c>
      <c r="F275">
        <v>28</v>
      </c>
      <c r="G275">
        <v>4.5999999999999996</v>
      </c>
      <c r="H275">
        <v>15</v>
      </c>
      <c r="I275" t="s">
        <v>93</v>
      </c>
    </row>
    <row r="276" spans="1:9">
      <c r="A276">
        <v>100275</v>
      </c>
      <c r="B276" t="s">
        <v>282</v>
      </c>
      <c r="C276" t="s">
        <v>111</v>
      </c>
      <c r="D276">
        <v>150000</v>
      </c>
      <c r="E276">
        <v>89864</v>
      </c>
      <c r="F276">
        <v>29</v>
      </c>
      <c r="G276">
        <v>2.9</v>
      </c>
      <c r="H276">
        <v>8</v>
      </c>
      <c r="I276" t="s">
        <v>93</v>
      </c>
    </row>
    <row r="277" spans="1:9">
      <c r="A277">
        <v>100276</v>
      </c>
      <c r="B277" t="s">
        <v>237</v>
      </c>
      <c r="C277" t="s">
        <v>95</v>
      </c>
      <c r="D277">
        <v>50000</v>
      </c>
      <c r="E277">
        <v>166256</v>
      </c>
      <c r="F277">
        <v>27</v>
      </c>
      <c r="G277">
        <v>4.9000000000000004</v>
      </c>
      <c r="H277">
        <v>5</v>
      </c>
      <c r="I277" t="s">
        <v>50</v>
      </c>
    </row>
    <row r="278" spans="1:9">
      <c r="A278">
        <v>100277</v>
      </c>
      <c r="B278" t="s">
        <v>283</v>
      </c>
      <c r="C278" t="s">
        <v>111</v>
      </c>
      <c r="D278">
        <v>100000</v>
      </c>
      <c r="E278">
        <v>89490</v>
      </c>
      <c r="F278">
        <v>21</v>
      </c>
      <c r="G278">
        <v>3.5</v>
      </c>
      <c r="H278">
        <v>6</v>
      </c>
      <c r="I278" t="s">
        <v>93</v>
      </c>
    </row>
    <row r="279" spans="1:9">
      <c r="A279">
        <v>100278</v>
      </c>
      <c r="B279" t="s">
        <v>247</v>
      </c>
      <c r="C279" t="s">
        <v>95</v>
      </c>
      <c r="D279">
        <v>100000</v>
      </c>
      <c r="E279">
        <v>50384</v>
      </c>
      <c r="F279">
        <v>17</v>
      </c>
      <c r="G279">
        <v>3.8</v>
      </c>
      <c r="H279">
        <v>0</v>
      </c>
      <c r="I279" t="s">
        <v>50</v>
      </c>
    </row>
    <row r="280" spans="1:9">
      <c r="A280">
        <v>100279</v>
      </c>
      <c r="B280" t="s">
        <v>280</v>
      </c>
      <c r="C280" t="s">
        <v>107</v>
      </c>
      <c r="D280">
        <v>150000</v>
      </c>
      <c r="E280">
        <v>136403</v>
      </c>
      <c r="F280">
        <v>18</v>
      </c>
      <c r="G280">
        <v>2.5</v>
      </c>
      <c r="H280">
        <v>4</v>
      </c>
      <c r="I280" t="s">
        <v>93</v>
      </c>
    </row>
    <row r="281" spans="1:9">
      <c r="A281">
        <v>100280</v>
      </c>
      <c r="B281" t="s">
        <v>267</v>
      </c>
      <c r="C281" t="s">
        <v>111</v>
      </c>
      <c r="D281">
        <v>120000</v>
      </c>
      <c r="E281">
        <v>70830</v>
      </c>
      <c r="F281">
        <v>16</v>
      </c>
      <c r="G281">
        <v>4.4000000000000004</v>
      </c>
      <c r="H281">
        <v>15</v>
      </c>
      <c r="I281" t="s">
        <v>93</v>
      </c>
    </row>
    <row r="282" spans="1:9">
      <c r="A282">
        <v>100281</v>
      </c>
      <c r="B282" t="s">
        <v>284</v>
      </c>
      <c r="C282" t="s">
        <v>95</v>
      </c>
      <c r="D282">
        <v>75000</v>
      </c>
      <c r="E282">
        <v>100719</v>
      </c>
      <c r="F282">
        <v>27</v>
      </c>
      <c r="G282">
        <v>4.9000000000000004</v>
      </c>
      <c r="H282">
        <v>10</v>
      </c>
      <c r="I282" t="s">
        <v>93</v>
      </c>
    </row>
    <row r="283" spans="1:9">
      <c r="A283">
        <v>100282</v>
      </c>
      <c r="B283" t="s">
        <v>195</v>
      </c>
      <c r="C283" t="s">
        <v>95</v>
      </c>
      <c r="D283">
        <v>100000</v>
      </c>
      <c r="E283">
        <v>158305</v>
      </c>
      <c r="F283">
        <v>25</v>
      </c>
      <c r="G283">
        <v>2.5</v>
      </c>
      <c r="H283">
        <v>14</v>
      </c>
      <c r="I283" t="s">
        <v>93</v>
      </c>
    </row>
    <row r="284" spans="1:9">
      <c r="A284">
        <v>100283</v>
      </c>
      <c r="B284" t="s">
        <v>198</v>
      </c>
      <c r="C284" t="s">
        <v>95</v>
      </c>
      <c r="D284">
        <v>150000</v>
      </c>
      <c r="E284">
        <v>92866</v>
      </c>
      <c r="F284">
        <v>17</v>
      </c>
      <c r="G284">
        <v>1.9</v>
      </c>
      <c r="H284">
        <v>9</v>
      </c>
      <c r="I284" t="s">
        <v>93</v>
      </c>
    </row>
    <row r="285" spans="1:9">
      <c r="A285">
        <v>100284</v>
      </c>
      <c r="B285" t="s">
        <v>279</v>
      </c>
      <c r="C285" t="s">
        <v>92</v>
      </c>
      <c r="D285">
        <v>100000</v>
      </c>
      <c r="E285">
        <v>145174</v>
      </c>
      <c r="F285">
        <v>27</v>
      </c>
      <c r="G285">
        <v>3.6</v>
      </c>
      <c r="H285">
        <v>12</v>
      </c>
      <c r="I285" t="s">
        <v>93</v>
      </c>
    </row>
    <row r="286" spans="1:9">
      <c r="A286">
        <v>100285</v>
      </c>
      <c r="B286" t="s">
        <v>285</v>
      </c>
      <c r="C286" t="s">
        <v>111</v>
      </c>
      <c r="D286">
        <v>0</v>
      </c>
      <c r="E286">
        <v>169083</v>
      </c>
      <c r="F286">
        <v>19</v>
      </c>
      <c r="G286">
        <v>3.2</v>
      </c>
      <c r="H286">
        <v>6</v>
      </c>
      <c r="I286" t="s">
        <v>93</v>
      </c>
    </row>
    <row r="287" spans="1:9">
      <c r="A287">
        <v>100286</v>
      </c>
      <c r="B287" t="s">
        <v>275</v>
      </c>
      <c r="C287" t="s">
        <v>111</v>
      </c>
      <c r="D287">
        <v>50000</v>
      </c>
      <c r="E287">
        <v>46980</v>
      </c>
      <c r="F287">
        <v>20</v>
      </c>
      <c r="G287">
        <v>3.2</v>
      </c>
      <c r="H287">
        <v>13</v>
      </c>
      <c r="I287" t="s">
        <v>93</v>
      </c>
    </row>
    <row r="288" spans="1:9">
      <c r="A288">
        <v>100287</v>
      </c>
      <c r="B288" t="s">
        <v>244</v>
      </c>
      <c r="C288" t="s">
        <v>92</v>
      </c>
      <c r="D288">
        <v>0</v>
      </c>
      <c r="E288">
        <v>121711</v>
      </c>
      <c r="F288">
        <v>21</v>
      </c>
      <c r="G288">
        <v>2</v>
      </c>
      <c r="H288">
        <v>6</v>
      </c>
      <c r="I288" t="s">
        <v>93</v>
      </c>
    </row>
    <row r="289" spans="1:9">
      <c r="A289">
        <v>100288</v>
      </c>
      <c r="B289" t="s">
        <v>181</v>
      </c>
      <c r="C289" t="s">
        <v>111</v>
      </c>
      <c r="D289">
        <v>120000</v>
      </c>
      <c r="E289">
        <v>104949</v>
      </c>
      <c r="F289">
        <v>15</v>
      </c>
      <c r="G289">
        <v>2.7</v>
      </c>
      <c r="H289">
        <v>15</v>
      </c>
      <c r="I289" t="s">
        <v>93</v>
      </c>
    </row>
    <row r="290" spans="1:9">
      <c r="A290">
        <v>100289</v>
      </c>
      <c r="B290" t="s">
        <v>192</v>
      </c>
      <c r="C290" t="s">
        <v>111</v>
      </c>
      <c r="D290">
        <v>50000</v>
      </c>
      <c r="E290">
        <v>83088</v>
      </c>
      <c r="F290">
        <v>25</v>
      </c>
      <c r="G290">
        <v>4.9000000000000004</v>
      </c>
      <c r="H290">
        <v>12</v>
      </c>
      <c r="I290" t="s">
        <v>93</v>
      </c>
    </row>
    <row r="291" spans="1:9">
      <c r="A291">
        <v>100290</v>
      </c>
      <c r="B291" t="s">
        <v>231</v>
      </c>
      <c r="C291" t="s">
        <v>111</v>
      </c>
      <c r="D291">
        <v>100000</v>
      </c>
      <c r="E291">
        <v>161852</v>
      </c>
      <c r="F291">
        <v>21</v>
      </c>
      <c r="G291">
        <v>5</v>
      </c>
      <c r="H291">
        <v>15</v>
      </c>
      <c r="I291" t="s">
        <v>93</v>
      </c>
    </row>
    <row r="292" spans="1:9">
      <c r="A292">
        <v>100291</v>
      </c>
      <c r="B292" t="s">
        <v>201</v>
      </c>
      <c r="C292" t="s">
        <v>95</v>
      </c>
      <c r="D292">
        <v>75000</v>
      </c>
      <c r="E292">
        <v>94148</v>
      </c>
      <c r="F292">
        <v>25</v>
      </c>
      <c r="G292">
        <v>3.9</v>
      </c>
      <c r="H292">
        <v>0</v>
      </c>
      <c r="I292" t="s">
        <v>93</v>
      </c>
    </row>
    <row r="293" spans="1:9">
      <c r="A293">
        <v>100292</v>
      </c>
      <c r="B293" t="s">
        <v>183</v>
      </c>
      <c r="C293" t="s">
        <v>95</v>
      </c>
      <c r="D293">
        <v>0</v>
      </c>
      <c r="E293">
        <v>34886</v>
      </c>
      <c r="F293">
        <v>21</v>
      </c>
      <c r="G293">
        <v>1.7</v>
      </c>
      <c r="H293">
        <v>9</v>
      </c>
      <c r="I293" t="s">
        <v>93</v>
      </c>
    </row>
    <row r="294" spans="1:9">
      <c r="A294">
        <v>100293</v>
      </c>
      <c r="B294" t="s">
        <v>154</v>
      </c>
      <c r="C294" t="s">
        <v>95</v>
      </c>
      <c r="D294">
        <v>50000</v>
      </c>
      <c r="E294">
        <v>153423</v>
      </c>
      <c r="F294">
        <v>23</v>
      </c>
      <c r="G294">
        <v>2</v>
      </c>
      <c r="H294">
        <v>15</v>
      </c>
      <c r="I294" t="s">
        <v>93</v>
      </c>
    </row>
    <row r="295" spans="1:9">
      <c r="A295">
        <v>100294</v>
      </c>
      <c r="B295" t="s">
        <v>273</v>
      </c>
      <c r="C295" t="s">
        <v>92</v>
      </c>
      <c r="D295">
        <v>75000</v>
      </c>
      <c r="E295">
        <v>130984</v>
      </c>
      <c r="F295">
        <v>18</v>
      </c>
      <c r="G295">
        <v>4.5999999999999996</v>
      </c>
      <c r="H295">
        <v>5</v>
      </c>
      <c r="I295" t="s">
        <v>93</v>
      </c>
    </row>
    <row r="296" spans="1:9">
      <c r="A296">
        <v>100295</v>
      </c>
      <c r="B296" t="s">
        <v>217</v>
      </c>
      <c r="C296" t="s">
        <v>95</v>
      </c>
      <c r="D296">
        <v>75000</v>
      </c>
      <c r="E296">
        <v>133060</v>
      </c>
      <c r="F296">
        <v>17</v>
      </c>
      <c r="G296">
        <v>1.8</v>
      </c>
      <c r="H296">
        <v>1</v>
      </c>
      <c r="I296" t="s">
        <v>93</v>
      </c>
    </row>
    <row r="297" spans="1:9">
      <c r="A297">
        <v>100296</v>
      </c>
      <c r="B297" t="s">
        <v>197</v>
      </c>
      <c r="C297" t="s">
        <v>92</v>
      </c>
      <c r="D297">
        <v>75000</v>
      </c>
      <c r="E297">
        <v>153520</v>
      </c>
      <c r="F297">
        <v>22</v>
      </c>
      <c r="G297">
        <v>4.8</v>
      </c>
      <c r="H297">
        <v>3</v>
      </c>
      <c r="I297" t="s">
        <v>93</v>
      </c>
    </row>
    <row r="298" spans="1:9">
      <c r="A298">
        <v>100297</v>
      </c>
      <c r="B298" t="s">
        <v>213</v>
      </c>
      <c r="C298" t="s">
        <v>111</v>
      </c>
      <c r="D298">
        <v>120000</v>
      </c>
      <c r="E298">
        <v>139893</v>
      </c>
      <c r="F298">
        <v>20</v>
      </c>
      <c r="G298">
        <v>4.9000000000000004</v>
      </c>
      <c r="H298">
        <v>14</v>
      </c>
      <c r="I298" t="s">
        <v>93</v>
      </c>
    </row>
    <row r="299" spans="1:9">
      <c r="A299">
        <v>100298</v>
      </c>
      <c r="B299" t="s">
        <v>270</v>
      </c>
      <c r="C299" t="s">
        <v>95</v>
      </c>
      <c r="D299">
        <v>100000</v>
      </c>
      <c r="E299">
        <v>52581</v>
      </c>
      <c r="F299">
        <v>23</v>
      </c>
      <c r="G299">
        <v>2.2000000000000002</v>
      </c>
      <c r="H299">
        <v>9</v>
      </c>
      <c r="I299" t="s">
        <v>93</v>
      </c>
    </row>
    <row r="300" spans="1:9">
      <c r="A300">
        <v>100299</v>
      </c>
      <c r="B300" t="s">
        <v>286</v>
      </c>
      <c r="C300" t="s">
        <v>95</v>
      </c>
      <c r="D300">
        <v>120000</v>
      </c>
      <c r="E300">
        <v>108346</v>
      </c>
      <c r="F300">
        <v>21</v>
      </c>
      <c r="G300">
        <v>3.8</v>
      </c>
      <c r="H300">
        <v>3</v>
      </c>
      <c r="I300" t="s">
        <v>93</v>
      </c>
    </row>
    <row r="301" spans="1:9">
      <c r="A301">
        <v>100300</v>
      </c>
      <c r="B301" t="s">
        <v>157</v>
      </c>
      <c r="C301" t="s">
        <v>92</v>
      </c>
      <c r="D301">
        <v>150000</v>
      </c>
      <c r="E301">
        <v>41929</v>
      </c>
      <c r="F301">
        <v>26</v>
      </c>
      <c r="G301">
        <v>2.5</v>
      </c>
      <c r="H301">
        <v>0</v>
      </c>
      <c r="I301" t="s">
        <v>93</v>
      </c>
    </row>
    <row r="302" spans="1:9">
      <c r="A302">
        <v>100301</v>
      </c>
      <c r="B302" t="s">
        <v>287</v>
      </c>
      <c r="C302" t="s">
        <v>95</v>
      </c>
      <c r="D302">
        <v>150000</v>
      </c>
      <c r="E302">
        <v>93640</v>
      </c>
      <c r="F302">
        <v>20</v>
      </c>
      <c r="G302">
        <v>2</v>
      </c>
      <c r="H302">
        <v>7</v>
      </c>
      <c r="I302" t="s">
        <v>50</v>
      </c>
    </row>
    <row r="303" spans="1:9">
      <c r="A303">
        <v>100302</v>
      </c>
      <c r="B303" t="s">
        <v>169</v>
      </c>
      <c r="C303" t="s">
        <v>111</v>
      </c>
      <c r="D303">
        <v>120000</v>
      </c>
      <c r="E303">
        <v>94779</v>
      </c>
      <c r="F303">
        <v>22</v>
      </c>
      <c r="G303">
        <v>4.5</v>
      </c>
      <c r="H303">
        <v>4</v>
      </c>
      <c r="I303" t="s">
        <v>93</v>
      </c>
    </row>
    <row r="304" spans="1:9">
      <c r="A304">
        <v>100303</v>
      </c>
      <c r="B304" t="s">
        <v>285</v>
      </c>
      <c r="C304" t="s">
        <v>107</v>
      </c>
      <c r="D304">
        <v>50000</v>
      </c>
      <c r="E304">
        <v>83519</v>
      </c>
      <c r="F304">
        <v>30</v>
      </c>
      <c r="G304">
        <v>4.7</v>
      </c>
      <c r="H304">
        <v>1</v>
      </c>
      <c r="I304" t="s">
        <v>93</v>
      </c>
    </row>
    <row r="305" spans="1:9">
      <c r="A305">
        <v>100304</v>
      </c>
      <c r="B305" t="s">
        <v>214</v>
      </c>
      <c r="C305" t="s">
        <v>92</v>
      </c>
      <c r="D305">
        <v>0</v>
      </c>
      <c r="E305">
        <v>119968</v>
      </c>
      <c r="F305">
        <v>26</v>
      </c>
      <c r="G305">
        <v>3.7</v>
      </c>
      <c r="H305">
        <v>5</v>
      </c>
      <c r="I305" t="s">
        <v>50</v>
      </c>
    </row>
    <row r="306" spans="1:9">
      <c r="A306">
        <v>100305</v>
      </c>
      <c r="B306" t="s">
        <v>186</v>
      </c>
      <c r="C306" t="s">
        <v>95</v>
      </c>
      <c r="D306">
        <v>0</v>
      </c>
      <c r="E306">
        <v>102206</v>
      </c>
      <c r="F306">
        <v>19</v>
      </c>
      <c r="G306">
        <v>4.9000000000000004</v>
      </c>
      <c r="H306">
        <v>15</v>
      </c>
      <c r="I306" t="s">
        <v>93</v>
      </c>
    </row>
    <row r="307" spans="1:9">
      <c r="A307">
        <v>100306</v>
      </c>
      <c r="B307" t="s">
        <v>262</v>
      </c>
      <c r="C307" t="s">
        <v>95</v>
      </c>
      <c r="D307">
        <v>150000</v>
      </c>
      <c r="E307">
        <v>164655</v>
      </c>
      <c r="F307">
        <v>30</v>
      </c>
      <c r="G307">
        <v>3.8</v>
      </c>
      <c r="H307">
        <v>9</v>
      </c>
      <c r="I307" t="s">
        <v>93</v>
      </c>
    </row>
    <row r="308" spans="1:9">
      <c r="A308">
        <v>100307</v>
      </c>
      <c r="B308" t="s">
        <v>254</v>
      </c>
      <c r="C308" t="s">
        <v>107</v>
      </c>
      <c r="D308">
        <v>50000</v>
      </c>
      <c r="E308">
        <v>98569</v>
      </c>
      <c r="F308">
        <v>21</v>
      </c>
      <c r="G308">
        <v>4.7</v>
      </c>
      <c r="H308">
        <v>5</v>
      </c>
      <c r="I308" t="s">
        <v>93</v>
      </c>
    </row>
    <row r="309" spans="1:9">
      <c r="A309">
        <v>100308</v>
      </c>
      <c r="B309" t="s">
        <v>131</v>
      </c>
      <c r="C309" t="s">
        <v>95</v>
      </c>
      <c r="D309">
        <v>100000</v>
      </c>
      <c r="E309">
        <v>39488</v>
      </c>
      <c r="F309">
        <v>18</v>
      </c>
      <c r="G309">
        <v>3.1</v>
      </c>
      <c r="H309">
        <v>0</v>
      </c>
      <c r="I309" t="s">
        <v>50</v>
      </c>
    </row>
    <row r="310" spans="1:9">
      <c r="A310">
        <v>100309</v>
      </c>
      <c r="B310" t="s">
        <v>288</v>
      </c>
      <c r="C310" t="s">
        <v>107</v>
      </c>
      <c r="D310">
        <v>120000</v>
      </c>
      <c r="E310">
        <v>158160</v>
      </c>
      <c r="F310">
        <v>23</v>
      </c>
      <c r="G310">
        <v>4.3</v>
      </c>
      <c r="H310">
        <v>2</v>
      </c>
      <c r="I310" t="s">
        <v>93</v>
      </c>
    </row>
    <row r="311" spans="1:9">
      <c r="A311">
        <v>100310</v>
      </c>
      <c r="B311" t="s">
        <v>210</v>
      </c>
      <c r="C311" t="s">
        <v>95</v>
      </c>
      <c r="D311">
        <v>75000</v>
      </c>
      <c r="E311">
        <v>60644</v>
      </c>
      <c r="F311">
        <v>26</v>
      </c>
      <c r="G311">
        <v>1.9</v>
      </c>
      <c r="H311">
        <v>15</v>
      </c>
      <c r="I311" t="s">
        <v>93</v>
      </c>
    </row>
    <row r="312" spans="1:9">
      <c r="A312">
        <v>100311</v>
      </c>
      <c r="B312" t="s">
        <v>163</v>
      </c>
      <c r="C312" t="s">
        <v>107</v>
      </c>
      <c r="D312">
        <v>75000</v>
      </c>
      <c r="E312">
        <v>57825</v>
      </c>
      <c r="F312">
        <v>24</v>
      </c>
      <c r="G312">
        <v>4.4000000000000004</v>
      </c>
      <c r="H312">
        <v>0</v>
      </c>
      <c r="I312" t="s">
        <v>93</v>
      </c>
    </row>
    <row r="313" spans="1:9">
      <c r="A313">
        <v>100312</v>
      </c>
      <c r="B313" t="s">
        <v>252</v>
      </c>
      <c r="C313" t="s">
        <v>107</v>
      </c>
      <c r="D313">
        <v>150000</v>
      </c>
      <c r="E313">
        <v>94117</v>
      </c>
      <c r="F313">
        <v>29</v>
      </c>
      <c r="G313">
        <v>3.8</v>
      </c>
      <c r="H313">
        <v>5</v>
      </c>
      <c r="I313" t="s">
        <v>93</v>
      </c>
    </row>
    <row r="314" spans="1:9">
      <c r="A314">
        <v>100313</v>
      </c>
      <c r="B314" t="s">
        <v>106</v>
      </c>
      <c r="C314" t="s">
        <v>92</v>
      </c>
      <c r="D314">
        <v>120000</v>
      </c>
      <c r="E314">
        <v>115626</v>
      </c>
      <c r="F314">
        <v>19</v>
      </c>
      <c r="G314">
        <v>1.6</v>
      </c>
      <c r="H314">
        <v>1</v>
      </c>
      <c r="I314" t="s">
        <v>93</v>
      </c>
    </row>
    <row r="315" spans="1:9">
      <c r="A315">
        <v>100314</v>
      </c>
      <c r="B315" t="s">
        <v>289</v>
      </c>
      <c r="C315" t="s">
        <v>111</v>
      </c>
      <c r="D315">
        <v>120000</v>
      </c>
      <c r="E315">
        <v>61590</v>
      </c>
      <c r="F315">
        <v>19</v>
      </c>
      <c r="G315">
        <v>4.0999999999999996</v>
      </c>
      <c r="H315">
        <v>12</v>
      </c>
      <c r="I315" t="s">
        <v>93</v>
      </c>
    </row>
    <row r="316" spans="1:9">
      <c r="A316">
        <v>100315</v>
      </c>
      <c r="B316" t="s">
        <v>290</v>
      </c>
      <c r="C316" t="s">
        <v>92</v>
      </c>
      <c r="D316">
        <v>150000</v>
      </c>
      <c r="E316">
        <v>168937</v>
      </c>
      <c r="F316">
        <v>16</v>
      </c>
      <c r="G316">
        <v>2.1</v>
      </c>
      <c r="H316">
        <v>12</v>
      </c>
      <c r="I316" t="s">
        <v>93</v>
      </c>
    </row>
    <row r="317" spans="1:9">
      <c r="A317">
        <v>100316</v>
      </c>
      <c r="B317" t="s">
        <v>291</v>
      </c>
      <c r="C317" t="s">
        <v>111</v>
      </c>
      <c r="D317">
        <v>150000</v>
      </c>
      <c r="E317">
        <v>149100</v>
      </c>
      <c r="F317">
        <v>22</v>
      </c>
      <c r="G317">
        <v>4.5</v>
      </c>
      <c r="H317">
        <v>1</v>
      </c>
      <c r="I317" t="s">
        <v>93</v>
      </c>
    </row>
    <row r="318" spans="1:9">
      <c r="A318">
        <v>100317</v>
      </c>
      <c r="B318" t="s">
        <v>210</v>
      </c>
      <c r="C318" t="s">
        <v>95</v>
      </c>
      <c r="D318">
        <v>75000</v>
      </c>
      <c r="E318">
        <v>115160</v>
      </c>
      <c r="F318">
        <v>18</v>
      </c>
      <c r="G318">
        <v>3.1</v>
      </c>
      <c r="H318">
        <v>9</v>
      </c>
      <c r="I318" t="s">
        <v>93</v>
      </c>
    </row>
    <row r="319" spans="1:9">
      <c r="A319">
        <v>100318</v>
      </c>
      <c r="B319" t="s">
        <v>245</v>
      </c>
      <c r="C319" t="s">
        <v>95</v>
      </c>
      <c r="D319">
        <v>75000</v>
      </c>
      <c r="E319">
        <v>101687</v>
      </c>
      <c r="F319">
        <v>30</v>
      </c>
      <c r="G319">
        <v>2.5</v>
      </c>
      <c r="H319">
        <v>15</v>
      </c>
      <c r="I319" t="s">
        <v>50</v>
      </c>
    </row>
    <row r="320" spans="1:9">
      <c r="A320">
        <v>100319</v>
      </c>
      <c r="B320" t="s">
        <v>122</v>
      </c>
      <c r="C320" t="s">
        <v>95</v>
      </c>
      <c r="D320">
        <v>75000</v>
      </c>
      <c r="E320">
        <v>114399</v>
      </c>
      <c r="F320">
        <v>15</v>
      </c>
      <c r="G320">
        <v>1.9</v>
      </c>
      <c r="H320">
        <v>5</v>
      </c>
      <c r="I320" t="s">
        <v>93</v>
      </c>
    </row>
    <row r="321" spans="1:9">
      <c r="A321">
        <v>100320</v>
      </c>
      <c r="B321" t="s">
        <v>247</v>
      </c>
      <c r="C321" t="s">
        <v>95</v>
      </c>
      <c r="D321">
        <v>0</v>
      </c>
      <c r="E321">
        <v>102937</v>
      </c>
      <c r="F321">
        <v>27</v>
      </c>
      <c r="G321">
        <v>3.9</v>
      </c>
      <c r="H321">
        <v>3</v>
      </c>
      <c r="I321" t="s">
        <v>93</v>
      </c>
    </row>
    <row r="322" spans="1:9">
      <c r="A322">
        <v>100321</v>
      </c>
      <c r="B322" t="s">
        <v>292</v>
      </c>
      <c r="C322" t="s">
        <v>107</v>
      </c>
      <c r="D322">
        <v>0</v>
      </c>
      <c r="E322">
        <v>96239</v>
      </c>
      <c r="F322">
        <v>30</v>
      </c>
      <c r="G322">
        <v>1.5</v>
      </c>
      <c r="H322">
        <v>5</v>
      </c>
      <c r="I322" t="s">
        <v>93</v>
      </c>
    </row>
    <row r="323" spans="1:9">
      <c r="A323">
        <v>100322</v>
      </c>
      <c r="B323" t="s">
        <v>293</v>
      </c>
      <c r="C323" t="s">
        <v>92</v>
      </c>
      <c r="D323">
        <v>75000</v>
      </c>
      <c r="E323">
        <v>155322</v>
      </c>
      <c r="F323">
        <v>16</v>
      </c>
      <c r="G323">
        <v>4.9000000000000004</v>
      </c>
      <c r="H323">
        <v>1</v>
      </c>
      <c r="I323" t="s">
        <v>93</v>
      </c>
    </row>
    <row r="324" spans="1:9">
      <c r="A324">
        <v>100323</v>
      </c>
      <c r="B324" t="s">
        <v>174</v>
      </c>
      <c r="C324" t="s">
        <v>107</v>
      </c>
      <c r="D324">
        <v>0</v>
      </c>
      <c r="E324">
        <v>80726</v>
      </c>
      <c r="F324">
        <v>22</v>
      </c>
      <c r="G324">
        <v>3.3</v>
      </c>
      <c r="H324">
        <v>9</v>
      </c>
      <c r="I324" t="s">
        <v>93</v>
      </c>
    </row>
    <row r="325" spans="1:9">
      <c r="A325">
        <v>100324</v>
      </c>
      <c r="B325" t="s">
        <v>249</v>
      </c>
      <c r="C325" t="s">
        <v>95</v>
      </c>
      <c r="D325">
        <v>0</v>
      </c>
      <c r="E325">
        <v>132612</v>
      </c>
      <c r="F325">
        <v>30</v>
      </c>
      <c r="G325">
        <v>4.2</v>
      </c>
      <c r="H325">
        <v>13</v>
      </c>
      <c r="I325" t="s">
        <v>50</v>
      </c>
    </row>
    <row r="326" spans="1:9">
      <c r="A326">
        <v>100325</v>
      </c>
      <c r="B326" t="s">
        <v>241</v>
      </c>
      <c r="C326" t="s">
        <v>92</v>
      </c>
      <c r="D326">
        <v>120000</v>
      </c>
      <c r="E326">
        <v>164514</v>
      </c>
      <c r="F326">
        <v>21</v>
      </c>
      <c r="G326">
        <v>4.7</v>
      </c>
      <c r="H326">
        <v>1</v>
      </c>
      <c r="I326" t="s">
        <v>93</v>
      </c>
    </row>
    <row r="327" spans="1:9">
      <c r="A327">
        <v>100326</v>
      </c>
      <c r="B327" t="s">
        <v>220</v>
      </c>
      <c r="C327" t="s">
        <v>92</v>
      </c>
      <c r="D327">
        <v>75000</v>
      </c>
      <c r="E327">
        <v>58099</v>
      </c>
      <c r="F327">
        <v>19</v>
      </c>
      <c r="G327">
        <v>3</v>
      </c>
      <c r="H327">
        <v>14</v>
      </c>
      <c r="I327" t="s">
        <v>93</v>
      </c>
    </row>
    <row r="328" spans="1:9">
      <c r="A328">
        <v>100327</v>
      </c>
      <c r="B328" t="s">
        <v>223</v>
      </c>
      <c r="C328" t="s">
        <v>92</v>
      </c>
      <c r="D328">
        <v>120000</v>
      </c>
      <c r="E328">
        <v>149907</v>
      </c>
      <c r="F328">
        <v>30</v>
      </c>
      <c r="G328">
        <v>1.9</v>
      </c>
      <c r="H328">
        <v>15</v>
      </c>
      <c r="I328" t="s">
        <v>93</v>
      </c>
    </row>
    <row r="329" spans="1:9">
      <c r="A329">
        <v>100328</v>
      </c>
      <c r="B329" t="s">
        <v>294</v>
      </c>
      <c r="C329" t="s">
        <v>111</v>
      </c>
      <c r="D329">
        <v>0</v>
      </c>
      <c r="E329">
        <v>119329</v>
      </c>
      <c r="F329">
        <v>28</v>
      </c>
      <c r="G329">
        <v>2</v>
      </c>
      <c r="H329">
        <v>1</v>
      </c>
      <c r="I329" t="s">
        <v>93</v>
      </c>
    </row>
    <row r="330" spans="1:9">
      <c r="A330">
        <v>100329</v>
      </c>
      <c r="B330" t="s">
        <v>237</v>
      </c>
      <c r="C330" t="s">
        <v>111</v>
      </c>
      <c r="D330">
        <v>100000</v>
      </c>
      <c r="E330">
        <v>79971</v>
      </c>
      <c r="F330">
        <v>23</v>
      </c>
      <c r="G330">
        <v>3.3</v>
      </c>
      <c r="H330">
        <v>8</v>
      </c>
      <c r="I330" t="s">
        <v>93</v>
      </c>
    </row>
    <row r="331" spans="1:9">
      <c r="A331">
        <v>100330</v>
      </c>
      <c r="B331" t="s">
        <v>223</v>
      </c>
      <c r="C331" t="s">
        <v>95</v>
      </c>
      <c r="D331">
        <v>50000</v>
      </c>
      <c r="E331">
        <v>80775</v>
      </c>
      <c r="F331">
        <v>18</v>
      </c>
      <c r="G331">
        <v>4.7</v>
      </c>
      <c r="H331">
        <v>5</v>
      </c>
      <c r="I331" t="s">
        <v>93</v>
      </c>
    </row>
    <row r="332" spans="1:9">
      <c r="A332">
        <v>100331</v>
      </c>
      <c r="B332" t="s">
        <v>144</v>
      </c>
      <c r="C332" t="s">
        <v>111</v>
      </c>
      <c r="D332">
        <v>0</v>
      </c>
      <c r="E332">
        <v>150773</v>
      </c>
      <c r="F332">
        <v>20</v>
      </c>
      <c r="G332">
        <v>1.7</v>
      </c>
      <c r="H332">
        <v>13</v>
      </c>
      <c r="I332" t="s">
        <v>93</v>
      </c>
    </row>
    <row r="333" spans="1:9">
      <c r="A333">
        <v>100332</v>
      </c>
      <c r="B333" t="s">
        <v>195</v>
      </c>
      <c r="C333" t="s">
        <v>95</v>
      </c>
      <c r="D333">
        <v>0</v>
      </c>
      <c r="E333">
        <v>58517</v>
      </c>
      <c r="F333">
        <v>30</v>
      </c>
      <c r="G333">
        <v>4.8</v>
      </c>
      <c r="H333">
        <v>14</v>
      </c>
      <c r="I333" t="s">
        <v>93</v>
      </c>
    </row>
    <row r="334" spans="1:9">
      <c r="A334">
        <v>100333</v>
      </c>
      <c r="B334" t="s">
        <v>295</v>
      </c>
      <c r="C334" t="s">
        <v>107</v>
      </c>
      <c r="D334">
        <v>150000</v>
      </c>
      <c r="E334">
        <v>60221</v>
      </c>
      <c r="F334">
        <v>19</v>
      </c>
      <c r="G334">
        <v>3.2</v>
      </c>
      <c r="H334">
        <v>1</v>
      </c>
      <c r="I334" t="s">
        <v>50</v>
      </c>
    </row>
    <row r="335" spans="1:9">
      <c r="A335">
        <v>100334</v>
      </c>
      <c r="B335" t="s">
        <v>231</v>
      </c>
      <c r="C335" t="s">
        <v>111</v>
      </c>
      <c r="D335">
        <v>120000</v>
      </c>
      <c r="E335">
        <v>50953</v>
      </c>
      <c r="F335">
        <v>16</v>
      </c>
      <c r="G335">
        <v>3.5</v>
      </c>
      <c r="H335">
        <v>15</v>
      </c>
      <c r="I335" t="s">
        <v>93</v>
      </c>
    </row>
    <row r="336" spans="1:9">
      <c r="A336">
        <v>100335</v>
      </c>
      <c r="B336" t="s">
        <v>196</v>
      </c>
      <c r="C336" t="s">
        <v>107</v>
      </c>
      <c r="D336">
        <v>0</v>
      </c>
      <c r="E336">
        <v>155520</v>
      </c>
      <c r="F336">
        <v>23</v>
      </c>
      <c r="G336">
        <v>2.6</v>
      </c>
      <c r="H336">
        <v>10</v>
      </c>
      <c r="I336" t="s">
        <v>93</v>
      </c>
    </row>
    <row r="337" spans="1:9">
      <c r="A337">
        <v>100336</v>
      </c>
      <c r="B337" t="s">
        <v>190</v>
      </c>
      <c r="C337" t="s">
        <v>107</v>
      </c>
      <c r="D337">
        <v>0</v>
      </c>
      <c r="E337">
        <v>46536</v>
      </c>
      <c r="F337">
        <v>19</v>
      </c>
      <c r="G337">
        <v>3.8</v>
      </c>
      <c r="H337">
        <v>1</v>
      </c>
      <c r="I337" t="s">
        <v>93</v>
      </c>
    </row>
    <row r="338" spans="1:9">
      <c r="A338">
        <v>100337</v>
      </c>
      <c r="B338" t="s">
        <v>216</v>
      </c>
      <c r="C338" t="s">
        <v>95</v>
      </c>
      <c r="D338">
        <v>50000</v>
      </c>
      <c r="E338">
        <v>137064</v>
      </c>
      <c r="F338">
        <v>16</v>
      </c>
      <c r="G338">
        <v>2.7</v>
      </c>
      <c r="H338">
        <v>8</v>
      </c>
      <c r="I338" t="s">
        <v>93</v>
      </c>
    </row>
    <row r="339" spans="1:9">
      <c r="A339">
        <v>100338</v>
      </c>
      <c r="B339" t="s">
        <v>181</v>
      </c>
      <c r="C339" t="s">
        <v>95</v>
      </c>
      <c r="D339">
        <v>50000</v>
      </c>
      <c r="E339">
        <v>171338</v>
      </c>
      <c r="F339">
        <v>30</v>
      </c>
      <c r="G339">
        <v>4.3</v>
      </c>
      <c r="H339">
        <v>0</v>
      </c>
      <c r="I339" t="s">
        <v>93</v>
      </c>
    </row>
    <row r="340" spans="1:9">
      <c r="A340">
        <v>100339</v>
      </c>
      <c r="B340" t="s">
        <v>255</v>
      </c>
      <c r="C340" t="s">
        <v>92</v>
      </c>
      <c r="D340">
        <v>50000</v>
      </c>
      <c r="E340">
        <v>95865</v>
      </c>
      <c r="F340">
        <v>19</v>
      </c>
      <c r="G340">
        <v>1.5</v>
      </c>
      <c r="H340">
        <v>0</v>
      </c>
      <c r="I340" t="s">
        <v>93</v>
      </c>
    </row>
    <row r="341" spans="1:9">
      <c r="A341">
        <v>100340</v>
      </c>
      <c r="B341" t="s">
        <v>154</v>
      </c>
      <c r="C341" t="s">
        <v>95</v>
      </c>
      <c r="D341">
        <v>0</v>
      </c>
      <c r="E341">
        <v>67465</v>
      </c>
      <c r="F341">
        <v>27</v>
      </c>
      <c r="G341">
        <v>1.6</v>
      </c>
      <c r="H341">
        <v>8</v>
      </c>
      <c r="I341" t="s">
        <v>93</v>
      </c>
    </row>
    <row r="342" spans="1:9">
      <c r="A342">
        <v>100341</v>
      </c>
      <c r="B342" t="s">
        <v>210</v>
      </c>
      <c r="C342" t="s">
        <v>92</v>
      </c>
      <c r="D342">
        <v>150000</v>
      </c>
      <c r="E342">
        <v>45649</v>
      </c>
      <c r="F342">
        <v>29</v>
      </c>
      <c r="G342">
        <v>4.5999999999999996</v>
      </c>
      <c r="H342">
        <v>0</v>
      </c>
      <c r="I342" t="s">
        <v>93</v>
      </c>
    </row>
    <row r="343" spans="1:9">
      <c r="A343">
        <v>100342</v>
      </c>
      <c r="B343" t="s">
        <v>296</v>
      </c>
      <c r="C343" t="s">
        <v>92</v>
      </c>
      <c r="D343">
        <v>150000</v>
      </c>
      <c r="E343">
        <v>101521</v>
      </c>
      <c r="F343">
        <v>22</v>
      </c>
      <c r="G343">
        <v>3.7</v>
      </c>
      <c r="H343">
        <v>9</v>
      </c>
      <c r="I343" t="s">
        <v>93</v>
      </c>
    </row>
    <row r="344" spans="1:9">
      <c r="A344">
        <v>100343</v>
      </c>
      <c r="B344" t="s">
        <v>259</v>
      </c>
      <c r="C344" t="s">
        <v>95</v>
      </c>
      <c r="D344">
        <v>150000</v>
      </c>
      <c r="E344">
        <v>173848</v>
      </c>
      <c r="F344">
        <v>17</v>
      </c>
      <c r="G344">
        <v>3.1</v>
      </c>
      <c r="H344">
        <v>2</v>
      </c>
      <c r="I344" t="s">
        <v>93</v>
      </c>
    </row>
    <row r="345" spans="1:9">
      <c r="A345">
        <v>100344</v>
      </c>
      <c r="B345" t="s">
        <v>290</v>
      </c>
      <c r="C345" t="s">
        <v>111</v>
      </c>
      <c r="D345">
        <v>100000</v>
      </c>
      <c r="E345">
        <v>110676</v>
      </c>
      <c r="F345">
        <v>15</v>
      </c>
      <c r="G345">
        <v>3.1</v>
      </c>
      <c r="H345">
        <v>0</v>
      </c>
      <c r="I345" t="s">
        <v>93</v>
      </c>
    </row>
    <row r="346" spans="1:9">
      <c r="A346">
        <v>100345</v>
      </c>
      <c r="B346" t="s">
        <v>278</v>
      </c>
      <c r="C346" t="s">
        <v>95</v>
      </c>
      <c r="D346">
        <v>120000</v>
      </c>
      <c r="E346">
        <v>131716</v>
      </c>
      <c r="F346">
        <v>22</v>
      </c>
      <c r="G346">
        <v>2.1</v>
      </c>
      <c r="H346">
        <v>6</v>
      </c>
      <c r="I346" t="s">
        <v>93</v>
      </c>
    </row>
    <row r="347" spans="1:9">
      <c r="A347">
        <v>100346</v>
      </c>
      <c r="B347" t="s">
        <v>98</v>
      </c>
      <c r="C347" t="s">
        <v>107</v>
      </c>
      <c r="D347">
        <v>150000</v>
      </c>
      <c r="E347">
        <v>172723</v>
      </c>
      <c r="F347">
        <v>23</v>
      </c>
      <c r="G347">
        <v>2.6</v>
      </c>
      <c r="H347">
        <v>7</v>
      </c>
      <c r="I347" t="s">
        <v>93</v>
      </c>
    </row>
    <row r="348" spans="1:9">
      <c r="A348">
        <v>100347</v>
      </c>
      <c r="B348" t="s">
        <v>193</v>
      </c>
      <c r="C348" t="s">
        <v>95</v>
      </c>
      <c r="D348">
        <v>150000</v>
      </c>
      <c r="E348">
        <v>94597</v>
      </c>
      <c r="F348">
        <v>24</v>
      </c>
      <c r="G348">
        <v>3.6</v>
      </c>
      <c r="H348">
        <v>12</v>
      </c>
      <c r="I348" t="s">
        <v>93</v>
      </c>
    </row>
    <row r="349" spans="1:9">
      <c r="A349">
        <v>100348</v>
      </c>
      <c r="B349" t="s">
        <v>296</v>
      </c>
      <c r="C349" t="s">
        <v>95</v>
      </c>
      <c r="D349">
        <v>120000</v>
      </c>
      <c r="E349">
        <v>98542</v>
      </c>
      <c r="F349">
        <v>19</v>
      </c>
      <c r="G349">
        <v>3.2</v>
      </c>
      <c r="H349">
        <v>8</v>
      </c>
      <c r="I349" t="s">
        <v>93</v>
      </c>
    </row>
    <row r="350" spans="1:9">
      <c r="A350">
        <v>100349</v>
      </c>
      <c r="B350" t="s">
        <v>257</v>
      </c>
      <c r="C350" t="s">
        <v>111</v>
      </c>
      <c r="D350">
        <v>0</v>
      </c>
      <c r="E350">
        <v>159813</v>
      </c>
      <c r="F350">
        <v>23</v>
      </c>
      <c r="G350">
        <v>3.3</v>
      </c>
      <c r="H350">
        <v>7</v>
      </c>
      <c r="I350" t="s">
        <v>93</v>
      </c>
    </row>
    <row r="351" spans="1:9">
      <c r="A351">
        <v>100350</v>
      </c>
      <c r="B351" t="s">
        <v>266</v>
      </c>
      <c r="C351" t="s">
        <v>107</v>
      </c>
      <c r="D351">
        <v>75000</v>
      </c>
      <c r="E351">
        <v>111635</v>
      </c>
      <c r="F351">
        <v>21</v>
      </c>
      <c r="G351">
        <v>3.8</v>
      </c>
      <c r="H351">
        <v>9</v>
      </c>
      <c r="I351" t="s">
        <v>93</v>
      </c>
    </row>
    <row r="352" spans="1:9">
      <c r="A352">
        <v>100351</v>
      </c>
      <c r="B352" t="s">
        <v>229</v>
      </c>
      <c r="C352" t="s">
        <v>111</v>
      </c>
      <c r="D352">
        <v>0</v>
      </c>
      <c r="E352">
        <v>92595</v>
      </c>
      <c r="F352">
        <v>28</v>
      </c>
      <c r="G352">
        <v>3.3</v>
      </c>
      <c r="H352">
        <v>9</v>
      </c>
      <c r="I352" t="s">
        <v>93</v>
      </c>
    </row>
    <row r="353" spans="1:9">
      <c r="A353">
        <v>100352</v>
      </c>
      <c r="B353" t="s">
        <v>277</v>
      </c>
      <c r="C353" t="s">
        <v>111</v>
      </c>
      <c r="D353">
        <v>120000</v>
      </c>
      <c r="E353">
        <v>49618</v>
      </c>
      <c r="F353">
        <v>24</v>
      </c>
      <c r="G353">
        <v>2.2000000000000002</v>
      </c>
      <c r="H353">
        <v>9</v>
      </c>
      <c r="I353" t="s">
        <v>93</v>
      </c>
    </row>
    <row r="354" spans="1:9">
      <c r="A354">
        <v>100353</v>
      </c>
      <c r="B354" t="s">
        <v>259</v>
      </c>
      <c r="C354" t="s">
        <v>111</v>
      </c>
      <c r="D354">
        <v>120000</v>
      </c>
      <c r="E354">
        <v>93996</v>
      </c>
      <c r="F354">
        <v>28</v>
      </c>
      <c r="G354">
        <v>4.4000000000000004</v>
      </c>
      <c r="H354">
        <v>6</v>
      </c>
      <c r="I354" t="s">
        <v>93</v>
      </c>
    </row>
    <row r="355" spans="1:9">
      <c r="A355">
        <v>100354</v>
      </c>
      <c r="B355" t="s">
        <v>268</v>
      </c>
      <c r="C355" t="s">
        <v>95</v>
      </c>
      <c r="D355">
        <v>150000</v>
      </c>
      <c r="E355">
        <v>55187</v>
      </c>
      <c r="F355">
        <v>16</v>
      </c>
      <c r="G355">
        <v>4.7</v>
      </c>
      <c r="H355">
        <v>0</v>
      </c>
      <c r="I355" t="s">
        <v>50</v>
      </c>
    </row>
    <row r="356" spans="1:9">
      <c r="A356">
        <v>100355</v>
      </c>
      <c r="B356" t="s">
        <v>204</v>
      </c>
      <c r="C356" t="s">
        <v>111</v>
      </c>
      <c r="D356">
        <v>0</v>
      </c>
      <c r="E356">
        <v>166581</v>
      </c>
      <c r="F356">
        <v>27</v>
      </c>
      <c r="G356">
        <v>3</v>
      </c>
      <c r="H356">
        <v>9</v>
      </c>
      <c r="I356" t="s">
        <v>93</v>
      </c>
    </row>
    <row r="357" spans="1:9">
      <c r="A357">
        <v>100356</v>
      </c>
      <c r="B357" t="s">
        <v>161</v>
      </c>
      <c r="C357" t="s">
        <v>111</v>
      </c>
      <c r="D357">
        <v>75000</v>
      </c>
      <c r="E357">
        <v>143082</v>
      </c>
      <c r="F357">
        <v>28</v>
      </c>
      <c r="G357">
        <v>1.6</v>
      </c>
      <c r="H357">
        <v>9</v>
      </c>
      <c r="I357" t="s">
        <v>93</v>
      </c>
    </row>
    <row r="358" spans="1:9">
      <c r="A358">
        <v>100357</v>
      </c>
      <c r="B358" t="s">
        <v>283</v>
      </c>
      <c r="C358" t="s">
        <v>92</v>
      </c>
      <c r="D358">
        <v>150000</v>
      </c>
      <c r="E358">
        <v>168242</v>
      </c>
      <c r="F358">
        <v>22</v>
      </c>
      <c r="G358">
        <v>2.1</v>
      </c>
      <c r="H358">
        <v>12</v>
      </c>
      <c r="I358" t="s">
        <v>93</v>
      </c>
    </row>
    <row r="359" spans="1:9">
      <c r="A359">
        <v>100358</v>
      </c>
      <c r="B359" t="s">
        <v>252</v>
      </c>
      <c r="C359" t="s">
        <v>92</v>
      </c>
      <c r="D359">
        <v>75000</v>
      </c>
      <c r="E359">
        <v>109427</v>
      </c>
      <c r="F359">
        <v>19</v>
      </c>
      <c r="G359">
        <v>2.1</v>
      </c>
      <c r="H359">
        <v>1</v>
      </c>
      <c r="I359" t="s">
        <v>93</v>
      </c>
    </row>
    <row r="360" spans="1:9">
      <c r="A360">
        <v>100359</v>
      </c>
      <c r="B360" t="s">
        <v>130</v>
      </c>
      <c r="C360" t="s">
        <v>107</v>
      </c>
      <c r="D360">
        <v>75000</v>
      </c>
      <c r="E360">
        <v>66937</v>
      </c>
      <c r="F360">
        <v>30</v>
      </c>
      <c r="G360">
        <v>4.3</v>
      </c>
      <c r="H360">
        <v>4</v>
      </c>
      <c r="I360" t="s">
        <v>93</v>
      </c>
    </row>
    <row r="361" spans="1:9">
      <c r="A361">
        <v>100360</v>
      </c>
      <c r="B361" t="s">
        <v>169</v>
      </c>
      <c r="C361" t="s">
        <v>95</v>
      </c>
      <c r="D361">
        <v>75000</v>
      </c>
      <c r="E361">
        <v>122755</v>
      </c>
      <c r="F361">
        <v>23</v>
      </c>
      <c r="G361">
        <v>4.5</v>
      </c>
      <c r="H361">
        <v>9</v>
      </c>
      <c r="I361" t="s">
        <v>50</v>
      </c>
    </row>
    <row r="362" spans="1:9">
      <c r="A362">
        <v>100361</v>
      </c>
      <c r="B362" t="s">
        <v>297</v>
      </c>
      <c r="C362" t="s">
        <v>92</v>
      </c>
      <c r="D362">
        <v>0</v>
      </c>
      <c r="E362">
        <v>81389</v>
      </c>
      <c r="F362">
        <v>20</v>
      </c>
      <c r="G362">
        <v>4.2</v>
      </c>
      <c r="H362">
        <v>5</v>
      </c>
      <c r="I362" t="s">
        <v>50</v>
      </c>
    </row>
    <row r="363" spans="1:9">
      <c r="A363">
        <v>100362</v>
      </c>
      <c r="B363" t="s">
        <v>286</v>
      </c>
      <c r="C363" t="s">
        <v>107</v>
      </c>
      <c r="D363">
        <v>120000</v>
      </c>
      <c r="E363">
        <v>99951</v>
      </c>
      <c r="F363">
        <v>27</v>
      </c>
      <c r="G363">
        <v>4.2</v>
      </c>
      <c r="H363">
        <v>15</v>
      </c>
      <c r="I363" t="s">
        <v>93</v>
      </c>
    </row>
    <row r="364" spans="1:9">
      <c r="A364">
        <v>100363</v>
      </c>
      <c r="B364" t="s">
        <v>228</v>
      </c>
      <c r="C364" t="s">
        <v>111</v>
      </c>
      <c r="D364">
        <v>50000</v>
      </c>
      <c r="E364">
        <v>73611</v>
      </c>
      <c r="F364">
        <v>18</v>
      </c>
      <c r="G364">
        <v>4.9000000000000004</v>
      </c>
      <c r="H364">
        <v>11</v>
      </c>
      <c r="I364" t="s">
        <v>93</v>
      </c>
    </row>
    <row r="365" spans="1:9">
      <c r="A365">
        <v>100364</v>
      </c>
      <c r="B365" t="s">
        <v>198</v>
      </c>
      <c r="C365" t="s">
        <v>111</v>
      </c>
      <c r="D365">
        <v>150000</v>
      </c>
      <c r="E365">
        <v>95698</v>
      </c>
      <c r="F365">
        <v>18</v>
      </c>
      <c r="G365">
        <v>4.0999999999999996</v>
      </c>
      <c r="H365">
        <v>4</v>
      </c>
      <c r="I365" t="s">
        <v>93</v>
      </c>
    </row>
    <row r="366" spans="1:9">
      <c r="A366">
        <v>100365</v>
      </c>
      <c r="B366" t="s">
        <v>154</v>
      </c>
      <c r="C366" t="s">
        <v>95</v>
      </c>
      <c r="D366">
        <v>120000</v>
      </c>
      <c r="E366">
        <v>111591</v>
      </c>
      <c r="F366">
        <v>27</v>
      </c>
      <c r="G366">
        <v>2.2999999999999998</v>
      </c>
      <c r="H366">
        <v>10</v>
      </c>
      <c r="I366" t="s">
        <v>50</v>
      </c>
    </row>
    <row r="367" spans="1:9">
      <c r="A367">
        <v>100366</v>
      </c>
      <c r="B367" t="s">
        <v>298</v>
      </c>
      <c r="C367" t="s">
        <v>95</v>
      </c>
      <c r="D367">
        <v>120000</v>
      </c>
      <c r="E367">
        <v>92522</v>
      </c>
      <c r="F367">
        <v>30</v>
      </c>
      <c r="G367">
        <v>4.7</v>
      </c>
      <c r="H367">
        <v>3</v>
      </c>
      <c r="I367" t="s">
        <v>50</v>
      </c>
    </row>
    <row r="368" spans="1:9">
      <c r="A368">
        <v>100367</v>
      </c>
      <c r="B368" t="s">
        <v>299</v>
      </c>
      <c r="C368" t="s">
        <v>111</v>
      </c>
      <c r="D368">
        <v>120000</v>
      </c>
      <c r="E368">
        <v>174630</v>
      </c>
      <c r="F368">
        <v>18</v>
      </c>
      <c r="G368">
        <v>2.1</v>
      </c>
      <c r="H368">
        <v>2</v>
      </c>
      <c r="I368" t="s">
        <v>93</v>
      </c>
    </row>
    <row r="369" spans="1:9">
      <c r="A369">
        <v>100368</v>
      </c>
      <c r="B369" t="s">
        <v>178</v>
      </c>
      <c r="C369" t="s">
        <v>95</v>
      </c>
      <c r="D369">
        <v>50000</v>
      </c>
      <c r="E369">
        <v>159413</v>
      </c>
      <c r="F369">
        <v>20</v>
      </c>
      <c r="G369">
        <v>4</v>
      </c>
      <c r="H369">
        <v>14</v>
      </c>
      <c r="I369" t="s">
        <v>93</v>
      </c>
    </row>
    <row r="370" spans="1:9">
      <c r="A370">
        <v>100369</v>
      </c>
      <c r="B370" t="s">
        <v>212</v>
      </c>
      <c r="C370" t="s">
        <v>92</v>
      </c>
      <c r="D370">
        <v>120000</v>
      </c>
      <c r="E370">
        <v>162674</v>
      </c>
      <c r="F370">
        <v>24</v>
      </c>
      <c r="G370">
        <v>2.6</v>
      </c>
      <c r="H370">
        <v>14</v>
      </c>
      <c r="I370" t="s">
        <v>93</v>
      </c>
    </row>
    <row r="371" spans="1:9">
      <c r="A371">
        <v>100370</v>
      </c>
      <c r="B371" t="s">
        <v>182</v>
      </c>
      <c r="C371" t="s">
        <v>92</v>
      </c>
      <c r="D371">
        <v>75000</v>
      </c>
      <c r="E371">
        <v>72005</v>
      </c>
      <c r="F371">
        <v>23</v>
      </c>
      <c r="G371">
        <v>3.6</v>
      </c>
      <c r="H371">
        <v>5</v>
      </c>
      <c r="I371" t="s">
        <v>93</v>
      </c>
    </row>
    <row r="372" spans="1:9">
      <c r="A372">
        <v>100371</v>
      </c>
      <c r="B372" t="s">
        <v>236</v>
      </c>
      <c r="C372" t="s">
        <v>92</v>
      </c>
      <c r="D372">
        <v>75000</v>
      </c>
      <c r="E372">
        <v>61326</v>
      </c>
      <c r="F372">
        <v>17</v>
      </c>
      <c r="G372">
        <v>4.4000000000000004</v>
      </c>
      <c r="H372">
        <v>10</v>
      </c>
      <c r="I372" t="s">
        <v>93</v>
      </c>
    </row>
    <row r="373" spans="1:9">
      <c r="A373">
        <v>100372</v>
      </c>
      <c r="B373" t="s">
        <v>245</v>
      </c>
      <c r="C373" t="s">
        <v>95</v>
      </c>
      <c r="D373">
        <v>50000</v>
      </c>
      <c r="E373">
        <v>158548</v>
      </c>
      <c r="F373">
        <v>22</v>
      </c>
      <c r="G373">
        <v>2.1</v>
      </c>
      <c r="H373">
        <v>5</v>
      </c>
      <c r="I373" t="s">
        <v>93</v>
      </c>
    </row>
    <row r="374" spans="1:9">
      <c r="A374">
        <v>100373</v>
      </c>
      <c r="B374" t="s">
        <v>139</v>
      </c>
      <c r="C374" t="s">
        <v>92</v>
      </c>
      <c r="D374">
        <v>75000</v>
      </c>
      <c r="E374">
        <v>48313</v>
      </c>
      <c r="F374">
        <v>30</v>
      </c>
      <c r="G374">
        <v>4.4000000000000004</v>
      </c>
      <c r="H374">
        <v>9</v>
      </c>
      <c r="I374" t="s">
        <v>50</v>
      </c>
    </row>
    <row r="375" spans="1:9">
      <c r="A375">
        <v>100374</v>
      </c>
      <c r="B375" t="s">
        <v>180</v>
      </c>
      <c r="C375" t="s">
        <v>111</v>
      </c>
      <c r="D375">
        <v>50000</v>
      </c>
      <c r="E375">
        <v>79898</v>
      </c>
      <c r="F375">
        <v>24</v>
      </c>
      <c r="G375">
        <v>4.2</v>
      </c>
      <c r="H375">
        <v>4</v>
      </c>
      <c r="I375" t="s">
        <v>93</v>
      </c>
    </row>
    <row r="376" spans="1:9">
      <c r="A376">
        <v>100375</v>
      </c>
      <c r="B376" t="s">
        <v>254</v>
      </c>
      <c r="C376" t="s">
        <v>95</v>
      </c>
      <c r="D376">
        <v>150000</v>
      </c>
      <c r="E376">
        <v>165912</v>
      </c>
      <c r="F376">
        <v>18</v>
      </c>
      <c r="G376">
        <v>3.1</v>
      </c>
      <c r="H376">
        <v>1</v>
      </c>
      <c r="I376" t="s">
        <v>93</v>
      </c>
    </row>
    <row r="377" spans="1:9">
      <c r="A377">
        <v>100376</v>
      </c>
      <c r="B377" t="s">
        <v>210</v>
      </c>
      <c r="C377" t="s">
        <v>107</v>
      </c>
      <c r="D377">
        <v>100000</v>
      </c>
      <c r="E377">
        <v>149756</v>
      </c>
      <c r="F377">
        <v>23</v>
      </c>
      <c r="G377">
        <v>4.5999999999999996</v>
      </c>
      <c r="H377">
        <v>4</v>
      </c>
      <c r="I377" t="s">
        <v>93</v>
      </c>
    </row>
    <row r="378" spans="1:9">
      <c r="A378">
        <v>100377</v>
      </c>
      <c r="B378" t="s">
        <v>278</v>
      </c>
      <c r="C378" t="s">
        <v>92</v>
      </c>
      <c r="D378">
        <v>120000</v>
      </c>
      <c r="E378">
        <v>51146</v>
      </c>
      <c r="F378">
        <v>19</v>
      </c>
      <c r="G378">
        <v>4.8</v>
      </c>
      <c r="H378">
        <v>4</v>
      </c>
      <c r="I378" t="s">
        <v>93</v>
      </c>
    </row>
    <row r="379" spans="1:9">
      <c r="A379">
        <v>100378</v>
      </c>
      <c r="B379" t="s">
        <v>175</v>
      </c>
      <c r="C379" t="s">
        <v>92</v>
      </c>
      <c r="D379">
        <v>100000</v>
      </c>
      <c r="E379">
        <v>59700</v>
      </c>
      <c r="F379">
        <v>16</v>
      </c>
      <c r="G379">
        <v>4.7</v>
      </c>
      <c r="H379">
        <v>6</v>
      </c>
      <c r="I379" t="s">
        <v>50</v>
      </c>
    </row>
    <row r="380" spans="1:9">
      <c r="A380">
        <v>100379</v>
      </c>
      <c r="B380" t="s">
        <v>144</v>
      </c>
      <c r="C380" t="s">
        <v>111</v>
      </c>
      <c r="D380">
        <v>150000</v>
      </c>
      <c r="E380">
        <v>167033</v>
      </c>
      <c r="F380">
        <v>26</v>
      </c>
      <c r="G380">
        <v>4.3</v>
      </c>
      <c r="H380">
        <v>12</v>
      </c>
      <c r="I380" t="s">
        <v>93</v>
      </c>
    </row>
    <row r="381" spans="1:9">
      <c r="A381">
        <v>100380</v>
      </c>
      <c r="B381" t="s">
        <v>174</v>
      </c>
      <c r="C381" t="s">
        <v>107</v>
      </c>
      <c r="D381">
        <v>75000</v>
      </c>
      <c r="E381">
        <v>61012</v>
      </c>
      <c r="F381">
        <v>24</v>
      </c>
      <c r="G381">
        <v>2.1</v>
      </c>
      <c r="H381">
        <v>15</v>
      </c>
      <c r="I381" t="s">
        <v>50</v>
      </c>
    </row>
    <row r="382" spans="1:9">
      <c r="A382">
        <v>100381</v>
      </c>
      <c r="B382" t="s">
        <v>285</v>
      </c>
      <c r="C382" t="s">
        <v>92</v>
      </c>
      <c r="D382">
        <v>75000</v>
      </c>
      <c r="E382">
        <v>85113</v>
      </c>
      <c r="F382">
        <v>23</v>
      </c>
      <c r="G382">
        <v>3.1</v>
      </c>
      <c r="H382">
        <v>1</v>
      </c>
      <c r="I382" t="s">
        <v>93</v>
      </c>
    </row>
    <row r="383" spans="1:9">
      <c r="A383">
        <v>100382</v>
      </c>
      <c r="B383" t="s">
        <v>300</v>
      </c>
      <c r="C383" t="s">
        <v>95</v>
      </c>
      <c r="D383">
        <v>0</v>
      </c>
      <c r="E383">
        <v>58166</v>
      </c>
      <c r="F383">
        <v>18</v>
      </c>
      <c r="G383">
        <v>2</v>
      </c>
      <c r="H383">
        <v>0</v>
      </c>
      <c r="I383" t="s">
        <v>93</v>
      </c>
    </row>
    <row r="384" spans="1:9">
      <c r="A384">
        <v>100383</v>
      </c>
      <c r="B384" t="s">
        <v>246</v>
      </c>
      <c r="C384" t="s">
        <v>111</v>
      </c>
      <c r="D384">
        <v>50000</v>
      </c>
      <c r="E384">
        <v>41296</v>
      </c>
      <c r="F384">
        <v>20</v>
      </c>
      <c r="G384">
        <v>3.6</v>
      </c>
      <c r="H384">
        <v>5</v>
      </c>
      <c r="I384" t="s">
        <v>93</v>
      </c>
    </row>
    <row r="385" spans="1:9">
      <c r="A385">
        <v>100384</v>
      </c>
      <c r="B385" t="s">
        <v>301</v>
      </c>
      <c r="C385" t="s">
        <v>95</v>
      </c>
      <c r="D385">
        <v>120000</v>
      </c>
      <c r="E385">
        <v>142514</v>
      </c>
      <c r="F385">
        <v>18</v>
      </c>
      <c r="G385">
        <v>3.2</v>
      </c>
      <c r="H385">
        <v>15</v>
      </c>
      <c r="I385" t="s">
        <v>93</v>
      </c>
    </row>
    <row r="386" spans="1:9">
      <c r="A386">
        <v>100385</v>
      </c>
      <c r="B386" t="s">
        <v>151</v>
      </c>
      <c r="C386" t="s">
        <v>107</v>
      </c>
      <c r="D386">
        <v>120000</v>
      </c>
      <c r="E386">
        <v>134173</v>
      </c>
      <c r="F386">
        <v>29</v>
      </c>
      <c r="G386">
        <v>2.8</v>
      </c>
      <c r="H386">
        <v>15</v>
      </c>
      <c r="I386" t="s">
        <v>93</v>
      </c>
    </row>
    <row r="387" spans="1:9">
      <c r="A387">
        <v>100386</v>
      </c>
      <c r="B387" t="s">
        <v>116</v>
      </c>
      <c r="C387" t="s">
        <v>92</v>
      </c>
      <c r="D387">
        <v>75000</v>
      </c>
      <c r="E387">
        <v>55317</v>
      </c>
      <c r="F387">
        <v>16</v>
      </c>
      <c r="G387">
        <v>2.2999999999999998</v>
      </c>
      <c r="H387">
        <v>8</v>
      </c>
      <c r="I387" t="s">
        <v>93</v>
      </c>
    </row>
    <row r="388" spans="1:9">
      <c r="A388">
        <v>100387</v>
      </c>
      <c r="B388" t="s">
        <v>205</v>
      </c>
      <c r="C388" t="s">
        <v>111</v>
      </c>
      <c r="D388">
        <v>150000</v>
      </c>
      <c r="E388">
        <v>178526</v>
      </c>
      <c r="F388">
        <v>22</v>
      </c>
      <c r="G388">
        <v>4.5999999999999996</v>
      </c>
      <c r="H388">
        <v>11</v>
      </c>
      <c r="I388" t="s">
        <v>93</v>
      </c>
    </row>
    <row r="389" spans="1:9">
      <c r="A389">
        <v>100388</v>
      </c>
      <c r="B389" t="s">
        <v>176</v>
      </c>
      <c r="C389" t="s">
        <v>95</v>
      </c>
      <c r="D389">
        <v>150000</v>
      </c>
      <c r="E389">
        <v>154407</v>
      </c>
      <c r="F389">
        <v>24</v>
      </c>
      <c r="G389">
        <v>3.1</v>
      </c>
      <c r="H389">
        <v>11</v>
      </c>
      <c r="I389" t="s">
        <v>93</v>
      </c>
    </row>
    <row r="390" spans="1:9">
      <c r="A390">
        <v>100389</v>
      </c>
      <c r="B390" t="s">
        <v>122</v>
      </c>
      <c r="C390" t="s">
        <v>95</v>
      </c>
      <c r="D390">
        <v>75000</v>
      </c>
      <c r="E390">
        <v>155858</v>
      </c>
      <c r="F390">
        <v>17</v>
      </c>
      <c r="G390">
        <v>3.3</v>
      </c>
      <c r="H390">
        <v>1</v>
      </c>
      <c r="I390" t="s">
        <v>93</v>
      </c>
    </row>
    <row r="391" spans="1:9">
      <c r="A391">
        <v>100390</v>
      </c>
      <c r="B391" t="s">
        <v>139</v>
      </c>
      <c r="C391" t="s">
        <v>107</v>
      </c>
      <c r="D391">
        <v>50000</v>
      </c>
      <c r="E391">
        <v>171488</v>
      </c>
      <c r="F391">
        <v>28</v>
      </c>
      <c r="G391">
        <v>4.5999999999999996</v>
      </c>
      <c r="H391">
        <v>11</v>
      </c>
      <c r="I391" t="s">
        <v>93</v>
      </c>
    </row>
    <row r="392" spans="1:9">
      <c r="A392">
        <v>100391</v>
      </c>
      <c r="B392" t="s">
        <v>230</v>
      </c>
      <c r="C392" t="s">
        <v>107</v>
      </c>
      <c r="D392">
        <v>120000</v>
      </c>
      <c r="E392">
        <v>151444</v>
      </c>
      <c r="F392">
        <v>29</v>
      </c>
      <c r="G392">
        <v>3.5</v>
      </c>
      <c r="H392">
        <v>6</v>
      </c>
      <c r="I392" t="s">
        <v>93</v>
      </c>
    </row>
    <row r="393" spans="1:9">
      <c r="A393">
        <v>100392</v>
      </c>
      <c r="B393" t="s">
        <v>185</v>
      </c>
      <c r="C393" t="s">
        <v>111</v>
      </c>
      <c r="D393">
        <v>0</v>
      </c>
      <c r="E393">
        <v>157945</v>
      </c>
      <c r="F393">
        <v>30</v>
      </c>
      <c r="G393">
        <v>4.2</v>
      </c>
      <c r="H393">
        <v>1</v>
      </c>
      <c r="I393" t="s">
        <v>93</v>
      </c>
    </row>
    <row r="394" spans="1:9">
      <c r="A394">
        <v>100393</v>
      </c>
      <c r="B394" t="s">
        <v>176</v>
      </c>
      <c r="C394" t="s">
        <v>111</v>
      </c>
      <c r="D394">
        <v>150000</v>
      </c>
      <c r="E394">
        <v>115911</v>
      </c>
      <c r="F394">
        <v>17</v>
      </c>
      <c r="G394">
        <v>4</v>
      </c>
      <c r="H394">
        <v>2</v>
      </c>
      <c r="I394" t="s">
        <v>93</v>
      </c>
    </row>
    <row r="395" spans="1:9">
      <c r="A395">
        <v>100394</v>
      </c>
      <c r="B395" t="s">
        <v>221</v>
      </c>
      <c r="C395" t="s">
        <v>92</v>
      </c>
      <c r="D395">
        <v>100000</v>
      </c>
      <c r="E395">
        <v>65258</v>
      </c>
      <c r="F395">
        <v>29</v>
      </c>
      <c r="G395">
        <v>3</v>
      </c>
      <c r="H395">
        <v>6</v>
      </c>
      <c r="I395" t="s">
        <v>93</v>
      </c>
    </row>
    <row r="396" spans="1:9">
      <c r="A396">
        <v>100395</v>
      </c>
      <c r="B396" t="s">
        <v>302</v>
      </c>
      <c r="C396" t="s">
        <v>111</v>
      </c>
      <c r="D396">
        <v>100000</v>
      </c>
      <c r="E396">
        <v>57129</v>
      </c>
      <c r="F396">
        <v>21</v>
      </c>
      <c r="G396">
        <v>2.7</v>
      </c>
      <c r="H396">
        <v>7</v>
      </c>
      <c r="I396" t="s">
        <v>93</v>
      </c>
    </row>
    <row r="397" spans="1:9">
      <c r="A397">
        <v>100396</v>
      </c>
      <c r="B397" t="s">
        <v>147</v>
      </c>
      <c r="C397" t="s">
        <v>92</v>
      </c>
      <c r="D397">
        <v>150000</v>
      </c>
      <c r="E397">
        <v>174646</v>
      </c>
      <c r="F397">
        <v>17</v>
      </c>
      <c r="G397">
        <v>3.7</v>
      </c>
      <c r="H397">
        <v>8</v>
      </c>
      <c r="I397" t="s">
        <v>50</v>
      </c>
    </row>
    <row r="398" spans="1:9">
      <c r="A398">
        <v>100397</v>
      </c>
      <c r="B398" t="s">
        <v>303</v>
      </c>
      <c r="C398" t="s">
        <v>95</v>
      </c>
      <c r="D398">
        <v>120000</v>
      </c>
      <c r="E398">
        <v>132069</v>
      </c>
      <c r="F398">
        <v>28</v>
      </c>
      <c r="G398">
        <v>3.6</v>
      </c>
      <c r="H398">
        <v>14</v>
      </c>
      <c r="I398" t="s">
        <v>93</v>
      </c>
    </row>
    <row r="399" spans="1:9">
      <c r="A399">
        <v>100398</v>
      </c>
      <c r="B399" t="s">
        <v>304</v>
      </c>
      <c r="C399" t="s">
        <v>111</v>
      </c>
      <c r="D399">
        <v>75000</v>
      </c>
      <c r="E399">
        <v>151949</v>
      </c>
      <c r="F399">
        <v>23</v>
      </c>
      <c r="G399">
        <v>2.2999999999999998</v>
      </c>
      <c r="H399">
        <v>14</v>
      </c>
      <c r="I399" t="s">
        <v>93</v>
      </c>
    </row>
    <row r="400" spans="1:9">
      <c r="A400">
        <v>100399</v>
      </c>
      <c r="B400" t="s">
        <v>181</v>
      </c>
      <c r="C400" t="s">
        <v>107</v>
      </c>
      <c r="D400">
        <v>150000</v>
      </c>
      <c r="E400">
        <v>148695</v>
      </c>
      <c r="F400">
        <v>29</v>
      </c>
      <c r="G400">
        <v>5</v>
      </c>
      <c r="H400">
        <v>0</v>
      </c>
      <c r="I400" t="s">
        <v>93</v>
      </c>
    </row>
    <row r="401" spans="1:9">
      <c r="A401">
        <v>100400</v>
      </c>
      <c r="B401" t="s">
        <v>213</v>
      </c>
      <c r="C401" t="s">
        <v>95</v>
      </c>
      <c r="D401">
        <v>0</v>
      </c>
      <c r="E401">
        <v>100042</v>
      </c>
      <c r="F401">
        <v>17</v>
      </c>
      <c r="G401">
        <v>3.8</v>
      </c>
      <c r="H401">
        <v>1</v>
      </c>
      <c r="I401" t="s">
        <v>50</v>
      </c>
    </row>
    <row r="402" spans="1:9">
      <c r="A402">
        <v>100401</v>
      </c>
      <c r="B402" t="s">
        <v>199</v>
      </c>
      <c r="C402" t="s">
        <v>107</v>
      </c>
      <c r="D402">
        <v>0</v>
      </c>
      <c r="E402">
        <v>144535</v>
      </c>
      <c r="F402">
        <v>19</v>
      </c>
      <c r="G402">
        <v>2.7</v>
      </c>
      <c r="H402">
        <v>13</v>
      </c>
      <c r="I402" t="s">
        <v>93</v>
      </c>
    </row>
    <row r="403" spans="1:9">
      <c r="A403">
        <v>100402</v>
      </c>
      <c r="B403" t="s">
        <v>305</v>
      </c>
      <c r="C403" t="s">
        <v>92</v>
      </c>
      <c r="D403">
        <v>50000</v>
      </c>
      <c r="E403">
        <v>115408</v>
      </c>
      <c r="F403">
        <v>18</v>
      </c>
      <c r="G403">
        <v>1.7</v>
      </c>
      <c r="H403">
        <v>13</v>
      </c>
      <c r="I403" t="s">
        <v>93</v>
      </c>
    </row>
    <row r="404" spans="1:9">
      <c r="A404">
        <v>100403</v>
      </c>
      <c r="B404" t="s">
        <v>237</v>
      </c>
      <c r="C404" t="s">
        <v>111</v>
      </c>
      <c r="D404">
        <v>120000</v>
      </c>
      <c r="E404">
        <v>156554</v>
      </c>
      <c r="F404">
        <v>17</v>
      </c>
      <c r="G404">
        <v>2</v>
      </c>
      <c r="H404">
        <v>8</v>
      </c>
      <c r="I404" t="s">
        <v>93</v>
      </c>
    </row>
    <row r="405" spans="1:9">
      <c r="A405">
        <v>100404</v>
      </c>
      <c r="B405" t="s">
        <v>271</v>
      </c>
      <c r="C405" t="s">
        <v>95</v>
      </c>
      <c r="D405">
        <v>100000</v>
      </c>
      <c r="E405">
        <v>160680</v>
      </c>
      <c r="F405">
        <v>29</v>
      </c>
      <c r="G405">
        <v>4</v>
      </c>
      <c r="H405">
        <v>6</v>
      </c>
      <c r="I405" t="s">
        <v>93</v>
      </c>
    </row>
    <row r="406" spans="1:9">
      <c r="A406">
        <v>100405</v>
      </c>
      <c r="B406" t="s">
        <v>306</v>
      </c>
      <c r="C406" t="s">
        <v>95</v>
      </c>
      <c r="D406">
        <v>50000</v>
      </c>
      <c r="E406">
        <v>122944</v>
      </c>
      <c r="F406">
        <v>21</v>
      </c>
      <c r="G406">
        <v>1.9</v>
      </c>
      <c r="H406">
        <v>2</v>
      </c>
      <c r="I406" t="s">
        <v>93</v>
      </c>
    </row>
    <row r="407" spans="1:9">
      <c r="A407">
        <v>100406</v>
      </c>
      <c r="B407" t="s">
        <v>204</v>
      </c>
      <c r="C407" t="s">
        <v>111</v>
      </c>
      <c r="D407">
        <v>0</v>
      </c>
      <c r="E407">
        <v>57508</v>
      </c>
      <c r="F407">
        <v>29</v>
      </c>
      <c r="G407">
        <v>1.7</v>
      </c>
      <c r="H407">
        <v>1</v>
      </c>
      <c r="I407" t="s">
        <v>93</v>
      </c>
    </row>
    <row r="408" spans="1:9">
      <c r="A408">
        <v>100407</v>
      </c>
      <c r="B408" t="s">
        <v>307</v>
      </c>
      <c r="C408" t="s">
        <v>107</v>
      </c>
      <c r="D408">
        <v>0</v>
      </c>
      <c r="E408">
        <v>167661</v>
      </c>
      <c r="F408">
        <v>28</v>
      </c>
      <c r="G408">
        <v>2.2999999999999998</v>
      </c>
      <c r="H408">
        <v>0</v>
      </c>
      <c r="I408" t="s">
        <v>93</v>
      </c>
    </row>
    <row r="409" spans="1:9">
      <c r="A409">
        <v>100408</v>
      </c>
      <c r="B409" t="s">
        <v>297</v>
      </c>
      <c r="C409" t="s">
        <v>92</v>
      </c>
      <c r="D409">
        <v>100000</v>
      </c>
      <c r="E409">
        <v>110201</v>
      </c>
      <c r="F409">
        <v>16</v>
      </c>
      <c r="G409">
        <v>2.9</v>
      </c>
      <c r="H409">
        <v>4</v>
      </c>
      <c r="I409" t="s">
        <v>50</v>
      </c>
    </row>
    <row r="410" spans="1:9">
      <c r="A410">
        <v>100409</v>
      </c>
      <c r="B410" t="s">
        <v>237</v>
      </c>
      <c r="C410" t="s">
        <v>111</v>
      </c>
      <c r="D410">
        <v>120000</v>
      </c>
      <c r="E410">
        <v>138495</v>
      </c>
      <c r="F410">
        <v>30</v>
      </c>
      <c r="G410">
        <v>3.7</v>
      </c>
      <c r="H410">
        <v>15</v>
      </c>
      <c r="I410" t="s">
        <v>50</v>
      </c>
    </row>
    <row r="411" spans="1:9">
      <c r="A411">
        <v>100410</v>
      </c>
      <c r="B411" t="s">
        <v>250</v>
      </c>
      <c r="C411" t="s">
        <v>92</v>
      </c>
      <c r="D411">
        <v>0</v>
      </c>
      <c r="E411">
        <v>49235</v>
      </c>
      <c r="F411">
        <v>18</v>
      </c>
      <c r="G411">
        <v>4.8</v>
      </c>
      <c r="H411">
        <v>1</v>
      </c>
      <c r="I411" t="s">
        <v>93</v>
      </c>
    </row>
    <row r="412" spans="1:9">
      <c r="A412">
        <v>100411</v>
      </c>
      <c r="B412" t="s">
        <v>116</v>
      </c>
      <c r="C412" t="s">
        <v>111</v>
      </c>
      <c r="D412">
        <v>150000</v>
      </c>
      <c r="E412">
        <v>136241</v>
      </c>
      <c r="F412">
        <v>25</v>
      </c>
      <c r="G412">
        <v>4.5999999999999996</v>
      </c>
      <c r="H412">
        <v>10</v>
      </c>
      <c r="I412" t="s">
        <v>93</v>
      </c>
    </row>
    <row r="413" spans="1:9">
      <c r="A413">
        <v>100412</v>
      </c>
      <c r="B413" t="s">
        <v>229</v>
      </c>
      <c r="C413" t="s">
        <v>107</v>
      </c>
      <c r="D413">
        <v>50000</v>
      </c>
      <c r="E413">
        <v>46650</v>
      </c>
      <c r="F413">
        <v>30</v>
      </c>
      <c r="G413">
        <v>1.9</v>
      </c>
      <c r="H413">
        <v>5</v>
      </c>
      <c r="I413" t="s">
        <v>93</v>
      </c>
    </row>
    <row r="414" spans="1:9">
      <c r="A414">
        <v>100413</v>
      </c>
      <c r="B414" t="s">
        <v>299</v>
      </c>
      <c r="C414" t="s">
        <v>92</v>
      </c>
      <c r="D414">
        <v>50000</v>
      </c>
      <c r="E414">
        <v>168919</v>
      </c>
      <c r="F414">
        <v>17</v>
      </c>
      <c r="G414">
        <v>2.9</v>
      </c>
      <c r="H414">
        <v>5</v>
      </c>
      <c r="I414" t="s">
        <v>93</v>
      </c>
    </row>
    <row r="415" spans="1:9">
      <c r="A415">
        <v>100414</v>
      </c>
      <c r="B415" t="s">
        <v>168</v>
      </c>
      <c r="C415" t="s">
        <v>111</v>
      </c>
      <c r="D415">
        <v>120000</v>
      </c>
      <c r="E415">
        <v>39140</v>
      </c>
      <c r="F415">
        <v>15</v>
      </c>
      <c r="G415">
        <v>1.5</v>
      </c>
      <c r="H415">
        <v>5</v>
      </c>
      <c r="I415" t="s">
        <v>93</v>
      </c>
    </row>
    <row r="416" spans="1:9">
      <c r="A416">
        <v>100415</v>
      </c>
      <c r="B416" t="s">
        <v>308</v>
      </c>
      <c r="C416" t="s">
        <v>95</v>
      </c>
      <c r="D416">
        <v>75000</v>
      </c>
      <c r="E416">
        <v>113970</v>
      </c>
      <c r="F416">
        <v>16</v>
      </c>
      <c r="G416">
        <v>3.8</v>
      </c>
      <c r="H416">
        <v>9</v>
      </c>
      <c r="I416" t="s">
        <v>93</v>
      </c>
    </row>
    <row r="417" spans="1:9">
      <c r="A417">
        <v>100416</v>
      </c>
      <c r="B417" t="s">
        <v>309</v>
      </c>
      <c r="C417" t="s">
        <v>111</v>
      </c>
      <c r="D417">
        <v>50000</v>
      </c>
      <c r="E417">
        <v>45121</v>
      </c>
      <c r="F417">
        <v>29</v>
      </c>
      <c r="G417">
        <v>1.9</v>
      </c>
      <c r="H417">
        <v>7</v>
      </c>
      <c r="I417" t="s">
        <v>93</v>
      </c>
    </row>
    <row r="418" spans="1:9">
      <c r="A418">
        <v>100417</v>
      </c>
      <c r="B418" t="s">
        <v>226</v>
      </c>
      <c r="C418" t="s">
        <v>95</v>
      </c>
      <c r="D418">
        <v>75000</v>
      </c>
      <c r="E418">
        <v>34942</v>
      </c>
      <c r="F418">
        <v>30</v>
      </c>
      <c r="G418">
        <v>1.8</v>
      </c>
      <c r="H418">
        <v>1</v>
      </c>
      <c r="I418" t="s">
        <v>93</v>
      </c>
    </row>
    <row r="419" spans="1:9">
      <c r="A419">
        <v>100418</v>
      </c>
      <c r="B419" t="s">
        <v>227</v>
      </c>
      <c r="C419" t="s">
        <v>92</v>
      </c>
      <c r="D419">
        <v>50000</v>
      </c>
      <c r="E419">
        <v>144715</v>
      </c>
      <c r="F419">
        <v>29</v>
      </c>
      <c r="G419">
        <v>4.5999999999999996</v>
      </c>
      <c r="H419">
        <v>14</v>
      </c>
      <c r="I419" t="s">
        <v>93</v>
      </c>
    </row>
    <row r="420" spans="1:9">
      <c r="A420">
        <v>100419</v>
      </c>
      <c r="B420" t="s">
        <v>310</v>
      </c>
      <c r="C420" t="s">
        <v>92</v>
      </c>
      <c r="D420">
        <v>75000</v>
      </c>
      <c r="E420">
        <v>69740</v>
      </c>
      <c r="F420">
        <v>22</v>
      </c>
      <c r="G420">
        <v>2.7</v>
      </c>
      <c r="H420">
        <v>8</v>
      </c>
      <c r="I420" t="s">
        <v>93</v>
      </c>
    </row>
    <row r="421" spans="1:9">
      <c r="A421">
        <v>100420</v>
      </c>
      <c r="B421" t="s">
        <v>125</v>
      </c>
      <c r="C421" t="s">
        <v>95</v>
      </c>
      <c r="D421">
        <v>100000</v>
      </c>
      <c r="E421">
        <v>76024</v>
      </c>
      <c r="F421">
        <v>26</v>
      </c>
      <c r="G421">
        <v>1.9</v>
      </c>
      <c r="H421">
        <v>6</v>
      </c>
      <c r="I421" t="s">
        <v>93</v>
      </c>
    </row>
    <row r="422" spans="1:9">
      <c r="A422">
        <v>100421</v>
      </c>
      <c r="B422" t="s">
        <v>179</v>
      </c>
      <c r="C422" t="s">
        <v>107</v>
      </c>
      <c r="D422">
        <v>150000</v>
      </c>
      <c r="E422">
        <v>44218</v>
      </c>
      <c r="F422">
        <v>23</v>
      </c>
      <c r="G422">
        <v>4.9000000000000004</v>
      </c>
      <c r="H422">
        <v>7</v>
      </c>
      <c r="I422" t="s">
        <v>50</v>
      </c>
    </row>
    <row r="423" spans="1:9">
      <c r="A423">
        <v>100422</v>
      </c>
      <c r="B423" t="s">
        <v>148</v>
      </c>
      <c r="C423" t="s">
        <v>107</v>
      </c>
      <c r="D423">
        <v>100000</v>
      </c>
      <c r="E423">
        <v>133305</v>
      </c>
      <c r="F423">
        <v>23</v>
      </c>
      <c r="G423">
        <v>3.1</v>
      </c>
      <c r="H423">
        <v>4</v>
      </c>
      <c r="I423" t="s">
        <v>93</v>
      </c>
    </row>
    <row r="424" spans="1:9">
      <c r="A424">
        <v>100423</v>
      </c>
      <c r="B424" t="s">
        <v>263</v>
      </c>
      <c r="C424" t="s">
        <v>92</v>
      </c>
      <c r="D424">
        <v>50000</v>
      </c>
      <c r="E424">
        <v>178312</v>
      </c>
      <c r="F424">
        <v>23</v>
      </c>
      <c r="G424">
        <v>4.7</v>
      </c>
      <c r="H424">
        <v>3</v>
      </c>
      <c r="I424" t="s">
        <v>93</v>
      </c>
    </row>
    <row r="425" spans="1:9">
      <c r="A425">
        <v>100424</v>
      </c>
      <c r="B425" t="s">
        <v>226</v>
      </c>
      <c r="C425" t="s">
        <v>111</v>
      </c>
      <c r="D425">
        <v>100000</v>
      </c>
      <c r="E425">
        <v>99798</v>
      </c>
      <c r="F425">
        <v>21</v>
      </c>
      <c r="G425">
        <v>2.4</v>
      </c>
      <c r="H425">
        <v>12</v>
      </c>
      <c r="I425" t="s">
        <v>93</v>
      </c>
    </row>
    <row r="426" spans="1:9">
      <c r="A426">
        <v>100425</v>
      </c>
      <c r="B426" t="s">
        <v>120</v>
      </c>
      <c r="C426" t="s">
        <v>111</v>
      </c>
      <c r="D426">
        <v>100000</v>
      </c>
      <c r="E426">
        <v>126754</v>
      </c>
      <c r="F426">
        <v>18</v>
      </c>
      <c r="G426">
        <v>3.3</v>
      </c>
      <c r="H426">
        <v>13</v>
      </c>
      <c r="I426" t="s">
        <v>93</v>
      </c>
    </row>
    <row r="427" spans="1:9">
      <c r="A427">
        <v>100426</v>
      </c>
      <c r="B427" t="s">
        <v>123</v>
      </c>
      <c r="C427" t="s">
        <v>107</v>
      </c>
      <c r="D427">
        <v>100000</v>
      </c>
      <c r="E427">
        <v>103890</v>
      </c>
      <c r="F427">
        <v>23</v>
      </c>
      <c r="G427">
        <v>2.8</v>
      </c>
      <c r="H427">
        <v>12</v>
      </c>
      <c r="I427" t="s">
        <v>93</v>
      </c>
    </row>
    <row r="428" spans="1:9">
      <c r="A428">
        <v>100427</v>
      </c>
      <c r="B428" t="s">
        <v>253</v>
      </c>
      <c r="C428" t="s">
        <v>92</v>
      </c>
      <c r="D428">
        <v>50000</v>
      </c>
      <c r="E428">
        <v>167413</v>
      </c>
      <c r="F428">
        <v>27</v>
      </c>
      <c r="G428">
        <v>3.9</v>
      </c>
      <c r="H428">
        <v>0</v>
      </c>
      <c r="I428" t="s">
        <v>50</v>
      </c>
    </row>
    <row r="429" spans="1:9">
      <c r="A429">
        <v>100428</v>
      </c>
      <c r="B429" t="s">
        <v>156</v>
      </c>
      <c r="C429" t="s">
        <v>111</v>
      </c>
      <c r="D429">
        <v>0</v>
      </c>
      <c r="E429">
        <v>124922</v>
      </c>
      <c r="F429">
        <v>19</v>
      </c>
      <c r="G429">
        <v>1.8</v>
      </c>
      <c r="H429">
        <v>2</v>
      </c>
      <c r="I429" t="s">
        <v>50</v>
      </c>
    </row>
    <row r="430" spans="1:9">
      <c r="A430">
        <v>100429</v>
      </c>
      <c r="B430" t="s">
        <v>279</v>
      </c>
      <c r="C430" t="s">
        <v>111</v>
      </c>
      <c r="D430">
        <v>75000</v>
      </c>
      <c r="E430">
        <v>101620</v>
      </c>
      <c r="F430">
        <v>30</v>
      </c>
      <c r="G430">
        <v>2.6</v>
      </c>
      <c r="H430">
        <v>11</v>
      </c>
      <c r="I430" t="s">
        <v>93</v>
      </c>
    </row>
    <row r="431" spans="1:9">
      <c r="A431">
        <v>100430</v>
      </c>
      <c r="B431" t="s">
        <v>311</v>
      </c>
      <c r="C431" t="s">
        <v>92</v>
      </c>
      <c r="D431">
        <v>50000</v>
      </c>
      <c r="E431">
        <v>101353</v>
      </c>
      <c r="F431">
        <v>17</v>
      </c>
      <c r="G431">
        <v>4.5999999999999996</v>
      </c>
      <c r="H431">
        <v>12</v>
      </c>
      <c r="I431" t="s">
        <v>93</v>
      </c>
    </row>
    <row r="432" spans="1:9">
      <c r="A432">
        <v>100431</v>
      </c>
      <c r="B432" t="s">
        <v>130</v>
      </c>
      <c r="C432" t="s">
        <v>92</v>
      </c>
      <c r="D432">
        <v>50000</v>
      </c>
      <c r="E432">
        <v>47242</v>
      </c>
      <c r="F432">
        <v>25</v>
      </c>
      <c r="G432">
        <v>4.9000000000000004</v>
      </c>
      <c r="H432">
        <v>1</v>
      </c>
      <c r="I432" t="s">
        <v>93</v>
      </c>
    </row>
    <row r="433" spans="1:9">
      <c r="A433">
        <v>100432</v>
      </c>
      <c r="B433" t="s">
        <v>150</v>
      </c>
      <c r="C433" t="s">
        <v>107</v>
      </c>
      <c r="D433">
        <v>50000</v>
      </c>
      <c r="E433">
        <v>83510</v>
      </c>
      <c r="F433">
        <v>21</v>
      </c>
      <c r="G433">
        <v>2.6</v>
      </c>
      <c r="H433">
        <v>15</v>
      </c>
      <c r="I433" t="s">
        <v>93</v>
      </c>
    </row>
    <row r="434" spans="1:9">
      <c r="A434">
        <v>100433</v>
      </c>
      <c r="B434" t="s">
        <v>218</v>
      </c>
      <c r="C434" t="s">
        <v>111</v>
      </c>
      <c r="D434">
        <v>150000</v>
      </c>
      <c r="E434">
        <v>33988</v>
      </c>
      <c r="F434">
        <v>27</v>
      </c>
      <c r="G434">
        <v>3.6</v>
      </c>
      <c r="H434">
        <v>4</v>
      </c>
      <c r="I434" t="s">
        <v>93</v>
      </c>
    </row>
    <row r="435" spans="1:9">
      <c r="A435">
        <v>100434</v>
      </c>
      <c r="B435" t="s">
        <v>254</v>
      </c>
      <c r="C435" t="s">
        <v>95</v>
      </c>
      <c r="D435">
        <v>150000</v>
      </c>
      <c r="E435">
        <v>129786</v>
      </c>
      <c r="F435">
        <v>15</v>
      </c>
      <c r="G435">
        <v>2.5</v>
      </c>
      <c r="H435">
        <v>5</v>
      </c>
      <c r="I435" t="s">
        <v>93</v>
      </c>
    </row>
    <row r="436" spans="1:9">
      <c r="A436">
        <v>100435</v>
      </c>
      <c r="B436" t="s">
        <v>312</v>
      </c>
      <c r="C436" t="s">
        <v>111</v>
      </c>
      <c r="D436">
        <v>0</v>
      </c>
      <c r="E436">
        <v>146780</v>
      </c>
      <c r="F436">
        <v>30</v>
      </c>
      <c r="G436">
        <v>2.7</v>
      </c>
      <c r="H436">
        <v>13</v>
      </c>
      <c r="I436" t="s">
        <v>93</v>
      </c>
    </row>
    <row r="437" spans="1:9">
      <c r="A437">
        <v>100436</v>
      </c>
      <c r="B437" t="s">
        <v>199</v>
      </c>
      <c r="C437" t="s">
        <v>107</v>
      </c>
      <c r="D437">
        <v>0</v>
      </c>
      <c r="E437">
        <v>135100</v>
      </c>
      <c r="F437">
        <v>21</v>
      </c>
      <c r="G437">
        <v>1.5</v>
      </c>
      <c r="H437">
        <v>3</v>
      </c>
      <c r="I437" t="s">
        <v>93</v>
      </c>
    </row>
    <row r="438" spans="1:9">
      <c r="A438">
        <v>100437</v>
      </c>
      <c r="B438" t="s">
        <v>313</v>
      </c>
      <c r="C438" t="s">
        <v>92</v>
      </c>
      <c r="D438">
        <v>75000</v>
      </c>
      <c r="E438">
        <v>112600</v>
      </c>
      <c r="F438">
        <v>16</v>
      </c>
      <c r="G438">
        <v>3.6</v>
      </c>
      <c r="H438">
        <v>11</v>
      </c>
      <c r="I438" t="s">
        <v>93</v>
      </c>
    </row>
    <row r="439" spans="1:9">
      <c r="A439">
        <v>100438</v>
      </c>
      <c r="B439" t="s">
        <v>314</v>
      </c>
      <c r="C439" t="s">
        <v>95</v>
      </c>
      <c r="D439">
        <v>100000</v>
      </c>
      <c r="E439">
        <v>45378</v>
      </c>
      <c r="F439">
        <v>28</v>
      </c>
      <c r="G439">
        <v>3.5</v>
      </c>
      <c r="H439">
        <v>8</v>
      </c>
      <c r="I439" t="s">
        <v>50</v>
      </c>
    </row>
    <row r="440" spans="1:9">
      <c r="A440">
        <v>100439</v>
      </c>
      <c r="B440" t="s">
        <v>244</v>
      </c>
      <c r="C440" t="s">
        <v>107</v>
      </c>
      <c r="D440">
        <v>120000</v>
      </c>
      <c r="E440">
        <v>97225</v>
      </c>
      <c r="F440">
        <v>29</v>
      </c>
      <c r="G440">
        <v>2.5</v>
      </c>
      <c r="H440">
        <v>10</v>
      </c>
      <c r="I440" t="s">
        <v>50</v>
      </c>
    </row>
    <row r="441" spans="1:9">
      <c r="A441">
        <v>100440</v>
      </c>
      <c r="B441" t="s">
        <v>280</v>
      </c>
      <c r="C441" t="s">
        <v>111</v>
      </c>
      <c r="D441">
        <v>75000</v>
      </c>
      <c r="E441">
        <v>91351</v>
      </c>
      <c r="F441">
        <v>29</v>
      </c>
      <c r="G441">
        <v>3</v>
      </c>
      <c r="H441">
        <v>11</v>
      </c>
      <c r="I441" t="s">
        <v>93</v>
      </c>
    </row>
    <row r="442" spans="1:9">
      <c r="A442">
        <v>100441</v>
      </c>
      <c r="B442" t="s">
        <v>142</v>
      </c>
      <c r="C442" t="s">
        <v>107</v>
      </c>
      <c r="D442">
        <v>75000</v>
      </c>
      <c r="E442">
        <v>135659</v>
      </c>
      <c r="F442">
        <v>28</v>
      </c>
      <c r="G442">
        <v>1.5</v>
      </c>
      <c r="H442">
        <v>4</v>
      </c>
      <c r="I442" t="s">
        <v>50</v>
      </c>
    </row>
    <row r="443" spans="1:9">
      <c r="A443">
        <v>100442</v>
      </c>
      <c r="B443" t="s">
        <v>167</v>
      </c>
      <c r="C443" t="s">
        <v>92</v>
      </c>
      <c r="D443">
        <v>100000</v>
      </c>
      <c r="E443">
        <v>36989</v>
      </c>
      <c r="F443">
        <v>29</v>
      </c>
      <c r="G443">
        <v>1.6</v>
      </c>
      <c r="H443">
        <v>11</v>
      </c>
      <c r="I443" t="s">
        <v>93</v>
      </c>
    </row>
    <row r="444" spans="1:9">
      <c r="A444">
        <v>100443</v>
      </c>
      <c r="B444" t="s">
        <v>183</v>
      </c>
      <c r="C444" t="s">
        <v>107</v>
      </c>
      <c r="D444">
        <v>50000</v>
      </c>
      <c r="E444">
        <v>82912</v>
      </c>
      <c r="F444">
        <v>29</v>
      </c>
      <c r="G444">
        <v>3.5</v>
      </c>
      <c r="H444">
        <v>6</v>
      </c>
      <c r="I444" t="s">
        <v>93</v>
      </c>
    </row>
    <row r="445" spans="1:9">
      <c r="A445">
        <v>100444</v>
      </c>
      <c r="B445" t="s">
        <v>211</v>
      </c>
      <c r="C445" t="s">
        <v>111</v>
      </c>
      <c r="D445">
        <v>75000</v>
      </c>
      <c r="E445">
        <v>167981</v>
      </c>
      <c r="F445">
        <v>22</v>
      </c>
      <c r="G445">
        <v>1.8</v>
      </c>
      <c r="H445">
        <v>8</v>
      </c>
      <c r="I445" t="s">
        <v>93</v>
      </c>
    </row>
    <row r="446" spans="1:9">
      <c r="A446">
        <v>100445</v>
      </c>
      <c r="B446" t="s">
        <v>289</v>
      </c>
      <c r="C446" t="s">
        <v>111</v>
      </c>
      <c r="D446">
        <v>0</v>
      </c>
      <c r="E446">
        <v>150672</v>
      </c>
      <c r="F446">
        <v>27</v>
      </c>
      <c r="G446">
        <v>2.4</v>
      </c>
      <c r="H446">
        <v>11</v>
      </c>
      <c r="I446" t="s">
        <v>93</v>
      </c>
    </row>
    <row r="447" spans="1:9">
      <c r="A447">
        <v>100446</v>
      </c>
      <c r="B447" t="s">
        <v>153</v>
      </c>
      <c r="C447" t="s">
        <v>111</v>
      </c>
      <c r="D447">
        <v>0</v>
      </c>
      <c r="E447">
        <v>37132</v>
      </c>
      <c r="F447">
        <v>23</v>
      </c>
      <c r="G447">
        <v>3.3</v>
      </c>
      <c r="H447">
        <v>1</v>
      </c>
      <c r="I447" t="s">
        <v>93</v>
      </c>
    </row>
    <row r="448" spans="1:9">
      <c r="A448">
        <v>100447</v>
      </c>
      <c r="B448" t="s">
        <v>266</v>
      </c>
      <c r="C448" t="s">
        <v>92</v>
      </c>
      <c r="D448">
        <v>100000</v>
      </c>
      <c r="E448">
        <v>60140</v>
      </c>
      <c r="F448">
        <v>21</v>
      </c>
      <c r="G448">
        <v>3.4</v>
      </c>
      <c r="H448">
        <v>12</v>
      </c>
      <c r="I448" t="s">
        <v>93</v>
      </c>
    </row>
    <row r="449" spans="1:9">
      <c r="A449">
        <v>100448</v>
      </c>
      <c r="B449" t="s">
        <v>192</v>
      </c>
      <c r="C449" t="s">
        <v>92</v>
      </c>
      <c r="D449">
        <v>100000</v>
      </c>
      <c r="E449">
        <v>149442</v>
      </c>
      <c r="F449">
        <v>22</v>
      </c>
      <c r="G449">
        <v>2</v>
      </c>
      <c r="H449">
        <v>9</v>
      </c>
      <c r="I449" t="s">
        <v>93</v>
      </c>
    </row>
    <row r="450" spans="1:9">
      <c r="A450">
        <v>100449</v>
      </c>
      <c r="B450" t="s">
        <v>315</v>
      </c>
      <c r="C450" t="s">
        <v>95</v>
      </c>
      <c r="D450">
        <v>50000</v>
      </c>
      <c r="E450">
        <v>65297</v>
      </c>
      <c r="F450">
        <v>26</v>
      </c>
      <c r="G450">
        <v>4.7</v>
      </c>
      <c r="H450">
        <v>3</v>
      </c>
      <c r="I450" t="s">
        <v>93</v>
      </c>
    </row>
    <row r="451" spans="1:9">
      <c r="A451">
        <v>100450</v>
      </c>
      <c r="B451" t="s">
        <v>206</v>
      </c>
      <c r="C451" t="s">
        <v>111</v>
      </c>
      <c r="D451">
        <v>150000</v>
      </c>
      <c r="E451">
        <v>73197</v>
      </c>
      <c r="F451">
        <v>28</v>
      </c>
      <c r="G451">
        <v>1.8</v>
      </c>
      <c r="H451">
        <v>0</v>
      </c>
      <c r="I451" t="s">
        <v>93</v>
      </c>
    </row>
    <row r="452" spans="1:9">
      <c r="A452">
        <v>100451</v>
      </c>
      <c r="B452" t="s">
        <v>197</v>
      </c>
      <c r="C452" t="s">
        <v>95</v>
      </c>
      <c r="D452">
        <v>120000</v>
      </c>
      <c r="E452">
        <v>154174</v>
      </c>
      <c r="F452">
        <v>22</v>
      </c>
      <c r="G452">
        <v>4.5</v>
      </c>
      <c r="H452">
        <v>8</v>
      </c>
      <c r="I452" t="s">
        <v>93</v>
      </c>
    </row>
    <row r="453" spans="1:9">
      <c r="A453">
        <v>100452</v>
      </c>
      <c r="B453" t="s">
        <v>316</v>
      </c>
      <c r="C453" t="s">
        <v>92</v>
      </c>
      <c r="D453">
        <v>120000</v>
      </c>
      <c r="E453">
        <v>68915</v>
      </c>
      <c r="F453">
        <v>26</v>
      </c>
      <c r="G453">
        <v>4.0999999999999996</v>
      </c>
      <c r="H453">
        <v>9</v>
      </c>
      <c r="I453" t="s">
        <v>93</v>
      </c>
    </row>
    <row r="454" spans="1:9">
      <c r="A454">
        <v>100453</v>
      </c>
      <c r="B454" t="s">
        <v>184</v>
      </c>
      <c r="C454" t="s">
        <v>111</v>
      </c>
      <c r="D454">
        <v>100000</v>
      </c>
      <c r="E454">
        <v>59393</v>
      </c>
      <c r="F454">
        <v>27</v>
      </c>
      <c r="G454">
        <v>1.8</v>
      </c>
      <c r="H454">
        <v>4</v>
      </c>
      <c r="I454" t="s">
        <v>93</v>
      </c>
    </row>
    <row r="455" spans="1:9">
      <c r="A455">
        <v>100454</v>
      </c>
      <c r="B455" t="s">
        <v>203</v>
      </c>
      <c r="C455" t="s">
        <v>107</v>
      </c>
      <c r="D455">
        <v>150000</v>
      </c>
      <c r="E455">
        <v>107958</v>
      </c>
      <c r="F455">
        <v>27</v>
      </c>
      <c r="G455">
        <v>4.5999999999999996</v>
      </c>
      <c r="H455">
        <v>11</v>
      </c>
      <c r="I455" t="s">
        <v>93</v>
      </c>
    </row>
    <row r="456" spans="1:9">
      <c r="A456">
        <v>100455</v>
      </c>
      <c r="B456" t="s">
        <v>283</v>
      </c>
      <c r="C456" t="s">
        <v>107</v>
      </c>
      <c r="D456">
        <v>0</v>
      </c>
      <c r="E456">
        <v>144783</v>
      </c>
      <c r="F456">
        <v>22</v>
      </c>
      <c r="G456">
        <v>1.7</v>
      </c>
      <c r="H456">
        <v>13</v>
      </c>
      <c r="I456" t="s">
        <v>93</v>
      </c>
    </row>
    <row r="457" spans="1:9">
      <c r="A457">
        <v>100456</v>
      </c>
      <c r="B457" t="s">
        <v>317</v>
      </c>
      <c r="C457" t="s">
        <v>95</v>
      </c>
      <c r="D457">
        <v>150000</v>
      </c>
      <c r="E457">
        <v>105518</v>
      </c>
      <c r="F457">
        <v>18</v>
      </c>
      <c r="G457">
        <v>2.7</v>
      </c>
      <c r="H457">
        <v>14</v>
      </c>
      <c r="I457" t="s">
        <v>93</v>
      </c>
    </row>
    <row r="458" spans="1:9">
      <c r="A458">
        <v>100457</v>
      </c>
      <c r="B458" t="s">
        <v>318</v>
      </c>
      <c r="C458" t="s">
        <v>95</v>
      </c>
      <c r="D458">
        <v>50000</v>
      </c>
      <c r="E458">
        <v>145039</v>
      </c>
      <c r="F458">
        <v>19</v>
      </c>
      <c r="G458">
        <v>4.5999999999999996</v>
      </c>
      <c r="H458">
        <v>3</v>
      </c>
      <c r="I458" t="s">
        <v>93</v>
      </c>
    </row>
    <row r="459" spans="1:9">
      <c r="A459">
        <v>100458</v>
      </c>
      <c r="B459" t="s">
        <v>178</v>
      </c>
      <c r="C459" t="s">
        <v>95</v>
      </c>
      <c r="D459">
        <v>100000</v>
      </c>
      <c r="E459">
        <v>30284</v>
      </c>
      <c r="F459">
        <v>24</v>
      </c>
      <c r="G459">
        <v>4.5999999999999996</v>
      </c>
      <c r="H459">
        <v>3</v>
      </c>
      <c r="I459" t="s">
        <v>93</v>
      </c>
    </row>
    <row r="460" spans="1:9">
      <c r="A460">
        <v>100459</v>
      </c>
      <c r="B460" t="s">
        <v>192</v>
      </c>
      <c r="C460" t="s">
        <v>95</v>
      </c>
      <c r="D460">
        <v>75000</v>
      </c>
      <c r="E460">
        <v>44186</v>
      </c>
      <c r="F460">
        <v>21</v>
      </c>
      <c r="G460">
        <v>4.2</v>
      </c>
      <c r="H460">
        <v>11</v>
      </c>
      <c r="I460" t="s">
        <v>93</v>
      </c>
    </row>
    <row r="461" spans="1:9">
      <c r="A461">
        <v>100460</v>
      </c>
      <c r="B461" t="s">
        <v>218</v>
      </c>
      <c r="C461" t="s">
        <v>95</v>
      </c>
      <c r="D461">
        <v>75000</v>
      </c>
      <c r="E461">
        <v>106549</v>
      </c>
      <c r="F461">
        <v>30</v>
      </c>
      <c r="G461">
        <v>1.6</v>
      </c>
      <c r="H461">
        <v>15</v>
      </c>
      <c r="I461" t="s">
        <v>50</v>
      </c>
    </row>
    <row r="462" spans="1:9">
      <c r="A462">
        <v>100461</v>
      </c>
      <c r="B462" t="s">
        <v>232</v>
      </c>
      <c r="C462" t="s">
        <v>107</v>
      </c>
      <c r="D462">
        <v>100000</v>
      </c>
      <c r="E462">
        <v>138181</v>
      </c>
      <c r="F462">
        <v>30</v>
      </c>
      <c r="G462">
        <v>5</v>
      </c>
      <c r="H462">
        <v>3</v>
      </c>
      <c r="I462" t="s">
        <v>93</v>
      </c>
    </row>
    <row r="463" spans="1:9">
      <c r="A463">
        <v>100462</v>
      </c>
      <c r="B463" t="s">
        <v>264</v>
      </c>
      <c r="C463" t="s">
        <v>111</v>
      </c>
      <c r="D463">
        <v>120000</v>
      </c>
      <c r="E463">
        <v>94640</v>
      </c>
      <c r="F463">
        <v>21</v>
      </c>
      <c r="G463">
        <v>1.6</v>
      </c>
      <c r="H463">
        <v>2</v>
      </c>
      <c r="I463" t="s">
        <v>93</v>
      </c>
    </row>
    <row r="464" spans="1:9">
      <c r="A464">
        <v>100463</v>
      </c>
      <c r="B464" t="s">
        <v>157</v>
      </c>
      <c r="C464" t="s">
        <v>92</v>
      </c>
      <c r="D464">
        <v>100000</v>
      </c>
      <c r="E464">
        <v>66591</v>
      </c>
      <c r="F464">
        <v>20</v>
      </c>
      <c r="G464">
        <v>2.7</v>
      </c>
      <c r="H464">
        <v>6</v>
      </c>
      <c r="I464" t="s">
        <v>93</v>
      </c>
    </row>
    <row r="465" spans="1:9">
      <c r="A465">
        <v>100464</v>
      </c>
      <c r="B465" t="s">
        <v>292</v>
      </c>
      <c r="C465" t="s">
        <v>107</v>
      </c>
      <c r="D465">
        <v>50000</v>
      </c>
      <c r="E465">
        <v>177083</v>
      </c>
      <c r="F465">
        <v>24</v>
      </c>
      <c r="G465">
        <v>4.5</v>
      </c>
      <c r="H465">
        <v>11</v>
      </c>
      <c r="I465" t="s">
        <v>93</v>
      </c>
    </row>
    <row r="466" spans="1:9">
      <c r="A466">
        <v>100465</v>
      </c>
      <c r="B466" t="s">
        <v>265</v>
      </c>
      <c r="C466" t="s">
        <v>111</v>
      </c>
      <c r="D466">
        <v>100000</v>
      </c>
      <c r="E466">
        <v>127636</v>
      </c>
      <c r="F466">
        <v>23</v>
      </c>
      <c r="G466">
        <v>4.5999999999999996</v>
      </c>
      <c r="H466">
        <v>10</v>
      </c>
      <c r="I466" t="s">
        <v>93</v>
      </c>
    </row>
    <row r="467" spans="1:9">
      <c r="A467">
        <v>100466</v>
      </c>
      <c r="B467" t="s">
        <v>314</v>
      </c>
      <c r="C467" t="s">
        <v>92</v>
      </c>
      <c r="D467">
        <v>100000</v>
      </c>
      <c r="E467">
        <v>60615</v>
      </c>
      <c r="F467">
        <v>17</v>
      </c>
      <c r="G467">
        <v>2.6</v>
      </c>
      <c r="H467">
        <v>7</v>
      </c>
      <c r="I467" t="s">
        <v>93</v>
      </c>
    </row>
    <row r="468" spans="1:9">
      <c r="A468">
        <v>100467</v>
      </c>
      <c r="B468" t="s">
        <v>276</v>
      </c>
      <c r="C468" t="s">
        <v>107</v>
      </c>
      <c r="D468">
        <v>0</v>
      </c>
      <c r="E468">
        <v>153757</v>
      </c>
      <c r="F468">
        <v>30</v>
      </c>
      <c r="G468">
        <v>3.8</v>
      </c>
      <c r="H468">
        <v>6</v>
      </c>
      <c r="I468" t="s">
        <v>93</v>
      </c>
    </row>
    <row r="469" spans="1:9">
      <c r="A469">
        <v>100468</v>
      </c>
      <c r="B469" t="s">
        <v>211</v>
      </c>
      <c r="C469" t="s">
        <v>111</v>
      </c>
      <c r="D469">
        <v>100000</v>
      </c>
      <c r="E469">
        <v>72702</v>
      </c>
      <c r="F469">
        <v>22</v>
      </c>
      <c r="G469">
        <v>3.7</v>
      </c>
      <c r="H469">
        <v>3</v>
      </c>
      <c r="I469" t="s">
        <v>93</v>
      </c>
    </row>
    <row r="470" spans="1:9">
      <c r="A470">
        <v>100469</v>
      </c>
      <c r="B470" t="s">
        <v>262</v>
      </c>
      <c r="C470" t="s">
        <v>111</v>
      </c>
      <c r="D470">
        <v>100000</v>
      </c>
      <c r="E470">
        <v>61198</v>
      </c>
      <c r="F470">
        <v>25</v>
      </c>
      <c r="G470">
        <v>3.2</v>
      </c>
      <c r="H470">
        <v>7</v>
      </c>
      <c r="I470" t="s">
        <v>93</v>
      </c>
    </row>
    <row r="471" spans="1:9">
      <c r="A471">
        <v>100470</v>
      </c>
      <c r="B471" t="s">
        <v>294</v>
      </c>
      <c r="C471" t="s">
        <v>107</v>
      </c>
      <c r="D471">
        <v>50000</v>
      </c>
      <c r="E471">
        <v>148283</v>
      </c>
      <c r="F471">
        <v>24</v>
      </c>
      <c r="G471">
        <v>3.6</v>
      </c>
      <c r="H471">
        <v>7</v>
      </c>
      <c r="I471" t="s">
        <v>93</v>
      </c>
    </row>
    <row r="472" spans="1:9">
      <c r="A472">
        <v>100471</v>
      </c>
      <c r="B472" t="s">
        <v>273</v>
      </c>
      <c r="C472" t="s">
        <v>92</v>
      </c>
      <c r="D472">
        <v>150000</v>
      </c>
      <c r="E472">
        <v>164388</v>
      </c>
      <c r="F472">
        <v>19</v>
      </c>
      <c r="G472">
        <v>4.2</v>
      </c>
      <c r="H472">
        <v>5</v>
      </c>
      <c r="I472" t="s">
        <v>93</v>
      </c>
    </row>
    <row r="473" spans="1:9">
      <c r="A473">
        <v>100472</v>
      </c>
      <c r="B473" t="s">
        <v>213</v>
      </c>
      <c r="C473" t="s">
        <v>95</v>
      </c>
      <c r="D473">
        <v>100000</v>
      </c>
      <c r="E473">
        <v>178975</v>
      </c>
      <c r="F473">
        <v>17</v>
      </c>
      <c r="G473">
        <v>1.7</v>
      </c>
      <c r="H473">
        <v>0</v>
      </c>
      <c r="I473" t="s">
        <v>93</v>
      </c>
    </row>
    <row r="474" spans="1:9">
      <c r="A474">
        <v>100473</v>
      </c>
      <c r="B474" t="s">
        <v>304</v>
      </c>
      <c r="C474" t="s">
        <v>107</v>
      </c>
      <c r="D474">
        <v>120000</v>
      </c>
      <c r="E474">
        <v>58541</v>
      </c>
      <c r="F474">
        <v>25</v>
      </c>
      <c r="G474">
        <v>2.8</v>
      </c>
      <c r="H474">
        <v>13</v>
      </c>
      <c r="I474" t="s">
        <v>93</v>
      </c>
    </row>
    <row r="475" spans="1:9">
      <c r="A475">
        <v>100474</v>
      </c>
      <c r="B475" t="s">
        <v>265</v>
      </c>
      <c r="C475" t="s">
        <v>95</v>
      </c>
      <c r="D475">
        <v>100000</v>
      </c>
      <c r="E475">
        <v>58609</v>
      </c>
      <c r="F475">
        <v>23</v>
      </c>
      <c r="G475">
        <v>3.7</v>
      </c>
      <c r="H475">
        <v>2</v>
      </c>
      <c r="I475" t="s">
        <v>93</v>
      </c>
    </row>
    <row r="476" spans="1:9">
      <c r="A476">
        <v>100475</v>
      </c>
      <c r="B476" t="s">
        <v>212</v>
      </c>
      <c r="C476" t="s">
        <v>95</v>
      </c>
      <c r="D476">
        <v>150000</v>
      </c>
      <c r="E476">
        <v>174452</v>
      </c>
      <c r="F476">
        <v>29</v>
      </c>
      <c r="G476">
        <v>4.2</v>
      </c>
      <c r="H476">
        <v>10</v>
      </c>
      <c r="I476" t="s">
        <v>93</v>
      </c>
    </row>
    <row r="477" spans="1:9">
      <c r="A477">
        <v>100476</v>
      </c>
      <c r="B477" t="s">
        <v>108</v>
      </c>
      <c r="C477" t="s">
        <v>92</v>
      </c>
      <c r="D477">
        <v>120000</v>
      </c>
      <c r="E477">
        <v>49739</v>
      </c>
      <c r="F477">
        <v>24</v>
      </c>
      <c r="G477">
        <v>2</v>
      </c>
      <c r="H477">
        <v>14</v>
      </c>
      <c r="I477" t="s">
        <v>50</v>
      </c>
    </row>
    <row r="478" spans="1:9">
      <c r="A478">
        <v>100477</v>
      </c>
      <c r="B478" t="s">
        <v>164</v>
      </c>
      <c r="C478" t="s">
        <v>92</v>
      </c>
      <c r="D478">
        <v>0</v>
      </c>
      <c r="E478">
        <v>174620</v>
      </c>
      <c r="F478">
        <v>25</v>
      </c>
      <c r="G478">
        <v>4.5999999999999996</v>
      </c>
      <c r="H478">
        <v>4</v>
      </c>
      <c r="I478" t="s">
        <v>93</v>
      </c>
    </row>
    <row r="479" spans="1:9">
      <c r="A479">
        <v>100478</v>
      </c>
      <c r="B479" t="s">
        <v>207</v>
      </c>
      <c r="C479" t="s">
        <v>95</v>
      </c>
      <c r="D479">
        <v>150000</v>
      </c>
      <c r="E479">
        <v>138636</v>
      </c>
      <c r="F479">
        <v>26</v>
      </c>
      <c r="G479">
        <v>2.9</v>
      </c>
      <c r="H479">
        <v>12</v>
      </c>
      <c r="I479" t="s">
        <v>93</v>
      </c>
    </row>
    <row r="480" spans="1:9">
      <c r="A480">
        <v>100479</v>
      </c>
      <c r="B480" t="s">
        <v>154</v>
      </c>
      <c r="C480" t="s">
        <v>111</v>
      </c>
      <c r="D480">
        <v>75000</v>
      </c>
      <c r="E480">
        <v>64885</v>
      </c>
      <c r="F480">
        <v>28</v>
      </c>
      <c r="G480">
        <v>2.2000000000000002</v>
      </c>
      <c r="H480">
        <v>2</v>
      </c>
      <c r="I480" t="s">
        <v>93</v>
      </c>
    </row>
    <row r="481" spans="1:9">
      <c r="A481">
        <v>100480</v>
      </c>
      <c r="B481" t="s">
        <v>101</v>
      </c>
      <c r="C481" t="s">
        <v>107</v>
      </c>
      <c r="D481">
        <v>150000</v>
      </c>
      <c r="E481">
        <v>37736</v>
      </c>
      <c r="F481">
        <v>26</v>
      </c>
      <c r="G481">
        <v>3.1</v>
      </c>
      <c r="H481">
        <v>13</v>
      </c>
      <c r="I481" t="s">
        <v>93</v>
      </c>
    </row>
    <row r="482" spans="1:9">
      <c r="A482">
        <v>100481</v>
      </c>
      <c r="B482" t="s">
        <v>103</v>
      </c>
      <c r="C482" t="s">
        <v>92</v>
      </c>
      <c r="D482">
        <v>75000</v>
      </c>
      <c r="E482">
        <v>95772</v>
      </c>
      <c r="F482">
        <v>20</v>
      </c>
      <c r="G482">
        <v>1.7</v>
      </c>
      <c r="H482">
        <v>9</v>
      </c>
      <c r="I482" t="s">
        <v>50</v>
      </c>
    </row>
    <row r="483" spans="1:9">
      <c r="A483">
        <v>100482</v>
      </c>
      <c r="B483" t="s">
        <v>316</v>
      </c>
      <c r="C483" t="s">
        <v>107</v>
      </c>
      <c r="D483">
        <v>75000</v>
      </c>
      <c r="E483">
        <v>140859</v>
      </c>
      <c r="F483">
        <v>16</v>
      </c>
      <c r="G483">
        <v>4.2</v>
      </c>
      <c r="H483">
        <v>5</v>
      </c>
      <c r="I483" t="s">
        <v>93</v>
      </c>
    </row>
    <row r="484" spans="1:9">
      <c r="A484">
        <v>100483</v>
      </c>
      <c r="B484" t="s">
        <v>182</v>
      </c>
      <c r="C484" t="s">
        <v>111</v>
      </c>
      <c r="D484">
        <v>75000</v>
      </c>
      <c r="E484">
        <v>140113</v>
      </c>
      <c r="F484">
        <v>26</v>
      </c>
      <c r="G484">
        <v>3.6</v>
      </c>
      <c r="H484">
        <v>7</v>
      </c>
      <c r="I484" t="s">
        <v>93</v>
      </c>
    </row>
    <row r="485" spans="1:9">
      <c r="A485">
        <v>100484</v>
      </c>
      <c r="B485" t="s">
        <v>194</v>
      </c>
      <c r="C485" t="s">
        <v>107</v>
      </c>
      <c r="D485">
        <v>75000</v>
      </c>
      <c r="E485">
        <v>127891</v>
      </c>
      <c r="F485">
        <v>18</v>
      </c>
      <c r="G485">
        <v>2.7</v>
      </c>
      <c r="H485">
        <v>8</v>
      </c>
      <c r="I485" t="s">
        <v>93</v>
      </c>
    </row>
    <row r="486" spans="1:9">
      <c r="A486">
        <v>100485</v>
      </c>
      <c r="B486" t="s">
        <v>300</v>
      </c>
      <c r="C486" t="s">
        <v>95</v>
      </c>
      <c r="D486">
        <v>75000</v>
      </c>
      <c r="E486">
        <v>44199</v>
      </c>
      <c r="F486">
        <v>21</v>
      </c>
      <c r="G486">
        <v>4.8</v>
      </c>
      <c r="H486">
        <v>5</v>
      </c>
      <c r="I486" t="s">
        <v>93</v>
      </c>
    </row>
    <row r="487" spans="1:9">
      <c r="A487">
        <v>100486</v>
      </c>
      <c r="B487" t="s">
        <v>292</v>
      </c>
      <c r="C487" t="s">
        <v>107</v>
      </c>
      <c r="D487">
        <v>50000</v>
      </c>
      <c r="E487">
        <v>44458</v>
      </c>
      <c r="F487">
        <v>25</v>
      </c>
      <c r="G487">
        <v>1.9</v>
      </c>
      <c r="H487">
        <v>7</v>
      </c>
      <c r="I487" t="s">
        <v>93</v>
      </c>
    </row>
    <row r="488" spans="1:9">
      <c r="A488">
        <v>100487</v>
      </c>
      <c r="B488" t="s">
        <v>94</v>
      </c>
      <c r="C488" t="s">
        <v>92</v>
      </c>
      <c r="D488">
        <v>50000</v>
      </c>
      <c r="E488">
        <v>76679</v>
      </c>
      <c r="F488">
        <v>23</v>
      </c>
      <c r="G488">
        <v>4.7</v>
      </c>
      <c r="H488">
        <v>6</v>
      </c>
      <c r="I488" t="s">
        <v>93</v>
      </c>
    </row>
    <row r="489" spans="1:9">
      <c r="A489">
        <v>100488</v>
      </c>
      <c r="B489" t="s">
        <v>319</v>
      </c>
      <c r="C489" t="s">
        <v>92</v>
      </c>
      <c r="D489">
        <v>75000</v>
      </c>
      <c r="E489">
        <v>153784</v>
      </c>
      <c r="F489">
        <v>15</v>
      </c>
      <c r="G489">
        <v>2.9</v>
      </c>
      <c r="H489">
        <v>5</v>
      </c>
      <c r="I489" t="s">
        <v>93</v>
      </c>
    </row>
    <row r="490" spans="1:9">
      <c r="A490">
        <v>100489</v>
      </c>
      <c r="B490" t="s">
        <v>100</v>
      </c>
      <c r="C490" t="s">
        <v>111</v>
      </c>
      <c r="D490">
        <v>100000</v>
      </c>
      <c r="E490">
        <v>62259</v>
      </c>
      <c r="F490">
        <v>16</v>
      </c>
      <c r="G490">
        <v>1.6</v>
      </c>
      <c r="H490">
        <v>14</v>
      </c>
      <c r="I490" t="s">
        <v>93</v>
      </c>
    </row>
    <row r="491" spans="1:9">
      <c r="A491">
        <v>100490</v>
      </c>
      <c r="B491" t="s">
        <v>223</v>
      </c>
      <c r="C491" t="s">
        <v>111</v>
      </c>
      <c r="D491">
        <v>0</v>
      </c>
      <c r="E491">
        <v>47072</v>
      </c>
      <c r="F491">
        <v>24</v>
      </c>
      <c r="G491">
        <v>1.6</v>
      </c>
      <c r="H491">
        <v>13</v>
      </c>
      <c r="I491" t="s">
        <v>93</v>
      </c>
    </row>
    <row r="492" spans="1:9">
      <c r="A492">
        <v>100491</v>
      </c>
      <c r="B492" t="s">
        <v>296</v>
      </c>
      <c r="C492" t="s">
        <v>111</v>
      </c>
      <c r="D492">
        <v>150000</v>
      </c>
      <c r="E492">
        <v>42325</v>
      </c>
      <c r="F492">
        <v>15</v>
      </c>
      <c r="G492">
        <v>2.5</v>
      </c>
      <c r="H492">
        <v>6</v>
      </c>
      <c r="I492" t="s">
        <v>93</v>
      </c>
    </row>
    <row r="493" spans="1:9">
      <c r="A493">
        <v>100492</v>
      </c>
      <c r="B493" t="s">
        <v>151</v>
      </c>
      <c r="C493" t="s">
        <v>111</v>
      </c>
      <c r="D493">
        <v>50000</v>
      </c>
      <c r="E493">
        <v>30101</v>
      </c>
      <c r="F493">
        <v>20</v>
      </c>
      <c r="G493">
        <v>2.2999999999999998</v>
      </c>
      <c r="H493">
        <v>1</v>
      </c>
      <c r="I493" t="s">
        <v>50</v>
      </c>
    </row>
    <row r="494" spans="1:9">
      <c r="A494">
        <v>100493</v>
      </c>
      <c r="B494" t="s">
        <v>212</v>
      </c>
      <c r="C494" t="s">
        <v>107</v>
      </c>
      <c r="D494">
        <v>75000</v>
      </c>
      <c r="E494">
        <v>55081</v>
      </c>
      <c r="F494">
        <v>25</v>
      </c>
      <c r="G494">
        <v>3</v>
      </c>
      <c r="H494">
        <v>7</v>
      </c>
      <c r="I494" t="s">
        <v>93</v>
      </c>
    </row>
    <row r="495" spans="1:9">
      <c r="A495">
        <v>100494</v>
      </c>
      <c r="B495" t="s">
        <v>120</v>
      </c>
      <c r="C495" t="s">
        <v>92</v>
      </c>
      <c r="D495">
        <v>50000</v>
      </c>
      <c r="E495">
        <v>157122</v>
      </c>
      <c r="F495">
        <v>16</v>
      </c>
      <c r="G495">
        <v>1.6</v>
      </c>
      <c r="H495">
        <v>1</v>
      </c>
      <c r="I495" t="s">
        <v>93</v>
      </c>
    </row>
    <row r="496" spans="1:9">
      <c r="A496">
        <v>100495</v>
      </c>
      <c r="B496" t="s">
        <v>148</v>
      </c>
      <c r="C496" t="s">
        <v>95</v>
      </c>
      <c r="D496">
        <v>75000</v>
      </c>
      <c r="E496">
        <v>57692</v>
      </c>
      <c r="F496">
        <v>17</v>
      </c>
      <c r="G496">
        <v>3.4</v>
      </c>
      <c r="H496">
        <v>3</v>
      </c>
      <c r="I496" t="s">
        <v>93</v>
      </c>
    </row>
    <row r="497" spans="1:9">
      <c r="A497">
        <v>100496</v>
      </c>
      <c r="B497" t="s">
        <v>130</v>
      </c>
      <c r="C497" t="s">
        <v>92</v>
      </c>
      <c r="D497">
        <v>100000</v>
      </c>
      <c r="E497">
        <v>165986</v>
      </c>
      <c r="F497">
        <v>16</v>
      </c>
      <c r="G497">
        <v>3.7</v>
      </c>
      <c r="H497">
        <v>9</v>
      </c>
      <c r="I497" t="s">
        <v>93</v>
      </c>
    </row>
    <row r="498" spans="1:9">
      <c r="A498">
        <v>100497</v>
      </c>
      <c r="B498" t="s">
        <v>113</v>
      </c>
      <c r="C498" t="s">
        <v>95</v>
      </c>
      <c r="D498">
        <v>120000</v>
      </c>
      <c r="E498">
        <v>65311</v>
      </c>
      <c r="F498">
        <v>15</v>
      </c>
      <c r="G498">
        <v>2.6</v>
      </c>
      <c r="H498">
        <v>2</v>
      </c>
      <c r="I498" t="s">
        <v>93</v>
      </c>
    </row>
    <row r="499" spans="1:9">
      <c r="A499">
        <v>100498</v>
      </c>
      <c r="B499" t="s">
        <v>291</v>
      </c>
      <c r="C499" t="s">
        <v>107</v>
      </c>
      <c r="D499">
        <v>50000</v>
      </c>
      <c r="E499">
        <v>47913</v>
      </c>
      <c r="F499">
        <v>30</v>
      </c>
      <c r="G499">
        <v>4.8</v>
      </c>
      <c r="H499">
        <v>4</v>
      </c>
      <c r="I499" t="s">
        <v>93</v>
      </c>
    </row>
    <row r="500" spans="1:9">
      <c r="A500">
        <v>100499</v>
      </c>
      <c r="B500" t="s">
        <v>280</v>
      </c>
      <c r="C500" t="s">
        <v>107</v>
      </c>
      <c r="D500">
        <v>50000</v>
      </c>
      <c r="E500">
        <v>86392</v>
      </c>
      <c r="F500">
        <v>22</v>
      </c>
      <c r="G500">
        <v>2.6</v>
      </c>
      <c r="H500">
        <v>6</v>
      </c>
      <c r="I500" t="s">
        <v>50</v>
      </c>
    </row>
    <row r="501" spans="1:9">
      <c r="A501">
        <v>100500</v>
      </c>
      <c r="B501" t="s">
        <v>320</v>
      </c>
      <c r="C501" t="s">
        <v>92</v>
      </c>
      <c r="D501">
        <v>50000</v>
      </c>
      <c r="E501">
        <v>101593</v>
      </c>
      <c r="F501">
        <v>15</v>
      </c>
      <c r="G501">
        <v>4.0999999999999996</v>
      </c>
      <c r="H501">
        <v>11</v>
      </c>
      <c r="I501" t="s">
        <v>93</v>
      </c>
    </row>
    <row r="502" spans="1:9">
      <c r="A502">
        <v>100501</v>
      </c>
      <c r="B502" t="s">
        <v>213</v>
      </c>
      <c r="C502" t="s">
        <v>95</v>
      </c>
      <c r="D502">
        <v>100000</v>
      </c>
      <c r="E502">
        <v>129096</v>
      </c>
      <c r="F502">
        <v>24</v>
      </c>
      <c r="G502">
        <v>1.6</v>
      </c>
      <c r="H502">
        <v>4</v>
      </c>
      <c r="I502" t="s">
        <v>93</v>
      </c>
    </row>
    <row r="503" spans="1:9">
      <c r="A503">
        <v>100502</v>
      </c>
      <c r="B503" t="s">
        <v>123</v>
      </c>
      <c r="C503" t="s">
        <v>111</v>
      </c>
      <c r="D503">
        <v>0</v>
      </c>
      <c r="E503">
        <v>121122</v>
      </c>
      <c r="F503">
        <v>23</v>
      </c>
      <c r="G503">
        <v>4.4000000000000004</v>
      </c>
      <c r="H503">
        <v>11</v>
      </c>
      <c r="I503" t="s">
        <v>93</v>
      </c>
    </row>
    <row r="504" spans="1:9">
      <c r="A504">
        <v>100503</v>
      </c>
      <c r="B504" t="s">
        <v>243</v>
      </c>
      <c r="C504" t="s">
        <v>92</v>
      </c>
      <c r="D504">
        <v>0</v>
      </c>
      <c r="E504">
        <v>166843</v>
      </c>
      <c r="F504">
        <v>24</v>
      </c>
      <c r="G504">
        <v>3.1</v>
      </c>
      <c r="H504">
        <v>10</v>
      </c>
      <c r="I504" t="s">
        <v>93</v>
      </c>
    </row>
    <row r="505" spans="1:9">
      <c r="A505">
        <v>100504</v>
      </c>
      <c r="B505" t="s">
        <v>256</v>
      </c>
      <c r="C505" t="s">
        <v>92</v>
      </c>
      <c r="D505">
        <v>50000</v>
      </c>
      <c r="E505">
        <v>82791</v>
      </c>
      <c r="F505">
        <v>27</v>
      </c>
      <c r="G505">
        <v>4.5999999999999996</v>
      </c>
      <c r="H505">
        <v>8</v>
      </c>
      <c r="I505" t="s">
        <v>93</v>
      </c>
    </row>
    <row r="506" spans="1:9">
      <c r="A506">
        <v>100505</v>
      </c>
      <c r="B506" t="s">
        <v>182</v>
      </c>
      <c r="C506" t="s">
        <v>111</v>
      </c>
      <c r="D506">
        <v>120000</v>
      </c>
      <c r="E506">
        <v>86106</v>
      </c>
      <c r="F506">
        <v>21</v>
      </c>
      <c r="G506">
        <v>2.6</v>
      </c>
      <c r="H506">
        <v>2</v>
      </c>
      <c r="I506" t="s">
        <v>93</v>
      </c>
    </row>
    <row r="507" spans="1:9">
      <c r="A507">
        <v>100506</v>
      </c>
      <c r="B507" t="s">
        <v>164</v>
      </c>
      <c r="C507" t="s">
        <v>111</v>
      </c>
      <c r="D507">
        <v>100000</v>
      </c>
      <c r="E507">
        <v>82650</v>
      </c>
      <c r="F507">
        <v>29</v>
      </c>
      <c r="G507">
        <v>4.8</v>
      </c>
      <c r="H507">
        <v>0</v>
      </c>
      <c r="I507" t="s">
        <v>93</v>
      </c>
    </row>
    <row r="508" spans="1:9">
      <c r="A508">
        <v>100507</v>
      </c>
      <c r="B508" t="s">
        <v>321</v>
      </c>
      <c r="C508" t="s">
        <v>107</v>
      </c>
      <c r="D508">
        <v>50000</v>
      </c>
      <c r="E508">
        <v>155846</v>
      </c>
      <c r="F508">
        <v>29</v>
      </c>
      <c r="G508">
        <v>2.2999999999999998</v>
      </c>
      <c r="H508">
        <v>10</v>
      </c>
      <c r="I508" t="s">
        <v>50</v>
      </c>
    </row>
    <row r="509" spans="1:9">
      <c r="A509">
        <v>100508</v>
      </c>
      <c r="B509" t="s">
        <v>159</v>
      </c>
      <c r="C509" t="s">
        <v>92</v>
      </c>
      <c r="D509">
        <v>0</v>
      </c>
      <c r="E509">
        <v>36510</v>
      </c>
      <c r="F509">
        <v>23</v>
      </c>
      <c r="G509">
        <v>4.2</v>
      </c>
      <c r="H509">
        <v>13</v>
      </c>
      <c r="I509" t="s">
        <v>93</v>
      </c>
    </row>
    <row r="510" spans="1:9">
      <c r="A510">
        <v>100509</v>
      </c>
      <c r="B510" t="s">
        <v>245</v>
      </c>
      <c r="C510" t="s">
        <v>107</v>
      </c>
      <c r="D510">
        <v>50000</v>
      </c>
      <c r="E510">
        <v>108367</v>
      </c>
      <c r="F510">
        <v>29</v>
      </c>
      <c r="G510">
        <v>3.1</v>
      </c>
      <c r="H510">
        <v>14</v>
      </c>
      <c r="I510" t="s">
        <v>93</v>
      </c>
    </row>
    <row r="511" spans="1:9">
      <c r="A511">
        <v>100510</v>
      </c>
      <c r="B511" t="s">
        <v>241</v>
      </c>
      <c r="C511" t="s">
        <v>111</v>
      </c>
      <c r="D511">
        <v>75000</v>
      </c>
      <c r="E511">
        <v>99944</v>
      </c>
      <c r="F511">
        <v>20</v>
      </c>
      <c r="G511">
        <v>4.3</v>
      </c>
      <c r="H511">
        <v>9</v>
      </c>
      <c r="I511" t="s">
        <v>93</v>
      </c>
    </row>
    <row r="512" spans="1:9">
      <c r="A512">
        <v>100511</v>
      </c>
      <c r="B512" t="s">
        <v>182</v>
      </c>
      <c r="C512" t="s">
        <v>107</v>
      </c>
      <c r="D512">
        <v>0</v>
      </c>
      <c r="E512">
        <v>109149</v>
      </c>
      <c r="F512">
        <v>15</v>
      </c>
      <c r="G512">
        <v>2.2000000000000002</v>
      </c>
      <c r="H512">
        <v>2</v>
      </c>
      <c r="I512" t="s">
        <v>93</v>
      </c>
    </row>
    <row r="513" spans="1:9">
      <c r="A513">
        <v>100512</v>
      </c>
      <c r="B513" t="s">
        <v>269</v>
      </c>
      <c r="C513" t="s">
        <v>107</v>
      </c>
      <c r="D513">
        <v>0</v>
      </c>
      <c r="E513">
        <v>161791</v>
      </c>
      <c r="F513">
        <v>26</v>
      </c>
      <c r="G513">
        <v>4</v>
      </c>
      <c r="H513">
        <v>14</v>
      </c>
      <c r="I513" t="s">
        <v>93</v>
      </c>
    </row>
    <row r="514" spans="1:9">
      <c r="A514">
        <v>100513</v>
      </c>
      <c r="B514" t="s">
        <v>186</v>
      </c>
      <c r="C514" t="s">
        <v>111</v>
      </c>
      <c r="D514">
        <v>150000</v>
      </c>
      <c r="E514">
        <v>163174</v>
      </c>
      <c r="F514">
        <v>30</v>
      </c>
      <c r="G514">
        <v>2.1</v>
      </c>
      <c r="H514">
        <v>5</v>
      </c>
      <c r="I514" t="s">
        <v>93</v>
      </c>
    </row>
    <row r="515" spans="1:9">
      <c r="A515">
        <v>100514</v>
      </c>
      <c r="B515" t="s">
        <v>275</v>
      </c>
      <c r="C515" t="s">
        <v>107</v>
      </c>
      <c r="D515">
        <v>120000</v>
      </c>
      <c r="E515">
        <v>90790</v>
      </c>
      <c r="F515">
        <v>30</v>
      </c>
      <c r="G515">
        <v>3.8</v>
      </c>
      <c r="H515">
        <v>15</v>
      </c>
      <c r="I515" t="s">
        <v>93</v>
      </c>
    </row>
    <row r="516" spans="1:9">
      <c r="A516">
        <v>100515</v>
      </c>
      <c r="B516" t="s">
        <v>188</v>
      </c>
      <c r="C516" t="s">
        <v>95</v>
      </c>
      <c r="D516">
        <v>100000</v>
      </c>
      <c r="E516">
        <v>89135</v>
      </c>
      <c r="F516">
        <v>28</v>
      </c>
      <c r="G516">
        <v>2.8</v>
      </c>
      <c r="H516">
        <v>10</v>
      </c>
      <c r="I516" t="s">
        <v>93</v>
      </c>
    </row>
    <row r="517" spans="1:9">
      <c r="A517">
        <v>100516</v>
      </c>
      <c r="B517" t="s">
        <v>273</v>
      </c>
      <c r="C517" t="s">
        <v>111</v>
      </c>
      <c r="D517">
        <v>50000</v>
      </c>
      <c r="E517">
        <v>74369</v>
      </c>
      <c r="F517">
        <v>20</v>
      </c>
      <c r="G517">
        <v>4.7</v>
      </c>
      <c r="H517">
        <v>13</v>
      </c>
      <c r="I517" t="s">
        <v>93</v>
      </c>
    </row>
    <row r="518" spans="1:9">
      <c r="A518">
        <v>100517</v>
      </c>
      <c r="B518" t="s">
        <v>289</v>
      </c>
      <c r="C518" t="s">
        <v>95</v>
      </c>
      <c r="D518">
        <v>100000</v>
      </c>
      <c r="E518">
        <v>120152</v>
      </c>
      <c r="F518">
        <v>23</v>
      </c>
      <c r="G518">
        <v>2.7</v>
      </c>
      <c r="H518">
        <v>9</v>
      </c>
      <c r="I518" t="s">
        <v>93</v>
      </c>
    </row>
    <row r="519" spans="1:9">
      <c r="A519">
        <v>100518</v>
      </c>
      <c r="B519" t="s">
        <v>154</v>
      </c>
      <c r="C519" t="s">
        <v>95</v>
      </c>
      <c r="D519">
        <v>75000</v>
      </c>
      <c r="E519">
        <v>70954</v>
      </c>
      <c r="F519">
        <v>18</v>
      </c>
      <c r="G519">
        <v>1.6</v>
      </c>
      <c r="H519">
        <v>5</v>
      </c>
      <c r="I519" t="s">
        <v>93</v>
      </c>
    </row>
    <row r="520" spans="1:9">
      <c r="A520">
        <v>100519</v>
      </c>
      <c r="B520" t="s">
        <v>190</v>
      </c>
      <c r="C520" t="s">
        <v>95</v>
      </c>
      <c r="D520">
        <v>120000</v>
      </c>
      <c r="E520">
        <v>97819</v>
      </c>
      <c r="F520">
        <v>19</v>
      </c>
      <c r="G520">
        <v>2</v>
      </c>
      <c r="H520">
        <v>12</v>
      </c>
      <c r="I520" t="s">
        <v>93</v>
      </c>
    </row>
    <row r="521" spans="1:9">
      <c r="A521">
        <v>100520</v>
      </c>
      <c r="B521" t="s">
        <v>262</v>
      </c>
      <c r="C521" t="s">
        <v>92</v>
      </c>
      <c r="D521">
        <v>75000</v>
      </c>
      <c r="E521">
        <v>156701</v>
      </c>
      <c r="F521">
        <v>29</v>
      </c>
      <c r="G521">
        <v>3.8</v>
      </c>
      <c r="H521">
        <v>12</v>
      </c>
      <c r="I521" t="s">
        <v>93</v>
      </c>
    </row>
    <row r="522" spans="1:9">
      <c r="A522">
        <v>100521</v>
      </c>
      <c r="B522" t="s">
        <v>231</v>
      </c>
      <c r="C522" t="s">
        <v>95</v>
      </c>
      <c r="D522">
        <v>100000</v>
      </c>
      <c r="E522">
        <v>34436</v>
      </c>
      <c r="F522">
        <v>21</v>
      </c>
      <c r="G522">
        <v>4</v>
      </c>
      <c r="H522">
        <v>8</v>
      </c>
      <c r="I522" t="s">
        <v>93</v>
      </c>
    </row>
    <row r="523" spans="1:9">
      <c r="A523">
        <v>100522</v>
      </c>
      <c r="B523" t="s">
        <v>167</v>
      </c>
      <c r="C523" t="s">
        <v>107</v>
      </c>
      <c r="D523">
        <v>50000</v>
      </c>
      <c r="E523">
        <v>131296</v>
      </c>
      <c r="F523">
        <v>22</v>
      </c>
      <c r="G523">
        <v>3.4</v>
      </c>
      <c r="H523">
        <v>13</v>
      </c>
      <c r="I523" t="s">
        <v>93</v>
      </c>
    </row>
    <row r="524" spans="1:9">
      <c r="A524">
        <v>100523</v>
      </c>
      <c r="B524" t="s">
        <v>128</v>
      </c>
      <c r="C524" t="s">
        <v>92</v>
      </c>
      <c r="D524">
        <v>100000</v>
      </c>
      <c r="E524">
        <v>168347</v>
      </c>
      <c r="F524">
        <v>25</v>
      </c>
      <c r="G524">
        <v>4.5</v>
      </c>
      <c r="H524">
        <v>12</v>
      </c>
      <c r="I524" t="s">
        <v>93</v>
      </c>
    </row>
    <row r="525" spans="1:9">
      <c r="A525">
        <v>100524</v>
      </c>
      <c r="B525" t="s">
        <v>316</v>
      </c>
      <c r="C525" t="s">
        <v>92</v>
      </c>
      <c r="D525">
        <v>120000</v>
      </c>
      <c r="E525">
        <v>110425</v>
      </c>
      <c r="F525">
        <v>23</v>
      </c>
      <c r="G525">
        <v>4.8</v>
      </c>
      <c r="H525">
        <v>12</v>
      </c>
      <c r="I525" t="s">
        <v>93</v>
      </c>
    </row>
    <row r="526" spans="1:9">
      <c r="A526">
        <v>100525</v>
      </c>
      <c r="B526" t="s">
        <v>169</v>
      </c>
      <c r="C526" t="s">
        <v>107</v>
      </c>
      <c r="D526">
        <v>150000</v>
      </c>
      <c r="E526">
        <v>155834</v>
      </c>
      <c r="F526">
        <v>18</v>
      </c>
      <c r="G526">
        <v>3.8</v>
      </c>
      <c r="H526">
        <v>3</v>
      </c>
      <c r="I526" t="s">
        <v>93</v>
      </c>
    </row>
    <row r="527" spans="1:9">
      <c r="A527">
        <v>100526</v>
      </c>
      <c r="B527" t="s">
        <v>130</v>
      </c>
      <c r="C527" t="s">
        <v>107</v>
      </c>
      <c r="D527">
        <v>75000</v>
      </c>
      <c r="E527">
        <v>39961</v>
      </c>
      <c r="F527">
        <v>20</v>
      </c>
      <c r="G527">
        <v>4.4000000000000004</v>
      </c>
      <c r="H527">
        <v>14</v>
      </c>
      <c r="I527" t="s">
        <v>93</v>
      </c>
    </row>
    <row r="528" spans="1:9">
      <c r="A528">
        <v>100527</v>
      </c>
      <c r="B528" t="s">
        <v>186</v>
      </c>
      <c r="C528" t="s">
        <v>107</v>
      </c>
      <c r="D528">
        <v>0</v>
      </c>
      <c r="E528">
        <v>158100</v>
      </c>
      <c r="F528">
        <v>24</v>
      </c>
      <c r="G528">
        <v>2.2999999999999998</v>
      </c>
      <c r="H528">
        <v>8</v>
      </c>
      <c r="I528" t="s">
        <v>93</v>
      </c>
    </row>
    <row r="529" spans="1:9">
      <c r="A529">
        <v>100528</v>
      </c>
      <c r="B529" t="s">
        <v>322</v>
      </c>
      <c r="C529" t="s">
        <v>92</v>
      </c>
      <c r="D529">
        <v>50000</v>
      </c>
      <c r="E529">
        <v>76373</v>
      </c>
      <c r="F529">
        <v>18</v>
      </c>
      <c r="G529">
        <v>1.7</v>
      </c>
      <c r="H529">
        <v>1</v>
      </c>
      <c r="I529" t="s">
        <v>93</v>
      </c>
    </row>
    <row r="530" spans="1:9">
      <c r="A530">
        <v>100529</v>
      </c>
      <c r="B530" t="s">
        <v>133</v>
      </c>
      <c r="C530" t="s">
        <v>95</v>
      </c>
      <c r="D530">
        <v>120000</v>
      </c>
      <c r="E530">
        <v>78372</v>
      </c>
      <c r="F530">
        <v>28</v>
      </c>
      <c r="G530">
        <v>2.8</v>
      </c>
      <c r="H530">
        <v>4</v>
      </c>
      <c r="I530" t="s">
        <v>50</v>
      </c>
    </row>
    <row r="531" spans="1:9">
      <c r="A531">
        <v>100530</v>
      </c>
      <c r="B531" t="s">
        <v>269</v>
      </c>
      <c r="C531" t="s">
        <v>92</v>
      </c>
      <c r="D531">
        <v>100000</v>
      </c>
      <c r="E531">
        <v>94734</v>
      </c>
      <c r="F531">
        <v>21</v>
      </c>
      <c r="G531">
        <v>4.2</v>
      </c>
      <c r="H531">
        <v>1</v>
      </c>
      <c r="I531" t="s">
        <v>93</v>
      </c>
    </row>
    <row r="532" spans="1:9">
      <c r="A532">
        <v>100531</v>
      </c>
      <c r="B532" t="s">
        <v>227</v>
      </c>
      <c r="C532" t="s">
        <v>92</v>
      </c>
      <c r="D532">
        <v>100000</v>
      </c>
      <c r="E532">
        <v>54892</v>
      </c>
      <c r="F532">
        <v>21</v>
      </c>
      <c r="G532">
        <v>3.9</v>
      </c>
      <c r="H532">
        <v>11</v>
      </c>
      <c r="I532" t="s">
        <v>93</v>
      </c>
    </row>
    <row r="533" spans="1:9">
      <c r="A533">
        <v>100532</v>
      </c>
      <c r="B533" t="s">
        <v>212</v>
      </c>
      <c r="C533" t="s">
        <v>107</v>
      </c>
      <c r="D533">
        <v>150000</v>
      </c>
      <c r="E533">
        <v>68839</v>
      </c>
      <c r="F533">
        <v>28</v>
      </c>
      <c r="G533">
        <v>2.4</v>
      </c>
      <c r="H533">
        <v>11</v>
      </c>
      <c r="I533" t="s">
        <v>93</v>
      </c>
    </row>
    <row r="534" spans="1:9">
      <c r="A534">
        <v>100533</v>
      </c>
      <c r="B534" t="s">
        <v>323</v>
      </c>
      <c r="C534" t="s">
        <v>107</v>
      </c>
      <c r="D534">
        <v>0</v>
      </c>
      <c r="E534">
        <v>44638</v>
      </c>
      <c r="F534">
        <v>17</v>
      </c>
      <c r="G534">
        <v>3.4</v>
      </c>
      <c r="H534">
        <v>4</v>
      </c>
      <c r="I534" t="s">
        <v>93</v>
      </c>
    </row>
    <row r="535" spans="1:9">
      <c r="A535">
        <v>100534</v>
      </c>
      <c r="B535" t="s">
        <v>194</v>
      </c>
      <c r="C535" t="s">
        <v>107</v>
      </c>
      <c r="D535">
        <v>0</v>
      </c>
      <c r="E535">
        <v>157918</v>
      </c>
      <c r="F535">
        <v>24</v>
      </c>
      <c r="G535">
        <v>2.4</v>
      </c>
      <c r="H535">
        <v>0</v>
      </c>
      <c r="I535" t="s">
        <v>50</v>
      </c>
    </row>
    <row r="536" spans="1:9">
      <c r="A536">
        <v>100535</v>
      </c>
      <c r="B536" t="s">
        <v>180</v>
      </c>
      <c r="C536" t="s">
        <v>95</v>
      </c>
      <c r="D536">
        <v>120000</v>
      </c>
      <c r="E536">
        <v>63369</v>
      </c>
      <c r="F536">
        <v>20</v>
      </c>
      <c r="G536">
        <v>1.6</v>
      </c>
      <c r="H536">
        <v>4</v>
      </c>
      <c r="I536" t="s">
        <v>93</v>
      </c>
    </row>
    <row r="537" spans="1:9">
      <c r="A537">
        <v>100536</v>
      </c>
      <c r="B537" t="s">
        <v>189</v>
      </c>
      <c r="C537" t="s">
        <v>92</v>
      </c>
      <c r="D537">
        <v>100000</v>
      </c>
      <c r="E537">
        <v>103226</v>
      </c>
      <c r="F537">
        <v>21</v>
      </c>
      <c r="G537">
        <v>2.6</v>
      </c>
      <c r="H537">
        <v>12</v>
      </c>
      <c r="I537" t="s">
        <v>93</v>
      </c>
    </row>
    <row r="538" spans="1:9">
      <c r="A538">
        <v>100537</v>
      </c>
      <c r="B538" t="s">
        <v>208</v>
      </c>
      <c r="C538" t="s">
        <v>95</v>
      </c>
      <c r="D538">
        <v>150000</v>
      </c>
      <c r="E538">
        <v>141490</v>
      </c>
      <c r="F538">
        <v>26</v>
      </c>
      <c r="G538">
        <v>4</v>
      </c>
      <c r="H538">
        <v>12</v>
      </c>
      <c r="I538" t="s">
        <v>93</v>
      </c>
    </row>
    <row r="539" spans="1:9">
      <c r="A539">
        <v>100538</v>
      </c>
      <c r="B539" t="s">
        <v>324</v>
      </c>
      <c r="C539" t="s">
        <v>95</v>
      </c>
      <c r="D539">
        <v>100000</v>
      </c>
      <c r="E539">
        <v>175435</v>
      </c>
      <c r="F539">
        <v>21</v>
      </c>
      <c r="G539">
        <v>2.6</v>
      </c>
      <c r="H539">
        <v>7</v>
      </c>
      <c r="I539" t="s">
        <v>93</v>
      </c>
    </row>
    <row r="540" spans="1:9">
      <c r="A540">
        <v>100539</v>
      </c>
      <c r="B540" t="s">
        <v>231</v>
      </c>
      <c r="C540" t="s">
        <v>92</v>
      </c>
      <c r="D540">
        <v>0</v>
      </c>
      <c r="E540">
        <v>105293</v>
      </c>
      <c r="F540">
        <v>17</v>
      </c>
      <c r="G540">
        <v>3</v>
      </c>
      <c r="H540">
        <v>8</v>
      </c>
      <c r="I540" t="s">
        <v>93</v>
      </c>
    </row>
    <row r="541" spans="1:9">
      <c r="A541">
        <v>100540</v>
      </c>
      <c r="B541" t="s">
        <v>325</v>
      </c>
      <c r="C541" t="s">
        <v>107</v>
      </c>
      <c r="D541">
        <v>0</v>
      </c>
      <c r="E541">
        <v>158835</v>
      </c>
      <c r="F541">
        <v>19</v>
      </c>
      <c r="G541">
        <v>3.7</v>
      </c>
      <c r="H541">
        <v>13</v>
      </c>
      <c r="I541" t="s">
        <v>93</v>
      </c>
    </row>
    <row r="542" spans="1:9">
      <c r="A542">
        <v>100541</v>
      </c>
      <c r="B542" t="s">
        <v>245</v>
      </c>
      <c r="C542" t="s">
        <v>92</v>
      </c>
      <c r="D542">
        <v>50000</v>
      </c>
      <c r="E542">
        <v>154308</v>
      </c>
      <c r="F542">
        <v>28</v>
      </c>
      <c r="G542">
        <v>4.3</v>
      </c>
      <c r="H542">
        <v>5</v>
      </c>
      <c r="I542" t="s">
        <v>93</v>
      </c>
    </row>
    <row r="543" spans="1:9">
      <c r="A543">
        <v>100542</v>
      </c>
      <c r="B543" t="s">
        <v>326</v>
      </c>
      <c r="C543" t="s">
        <v>107</v>
      </c>
      <c r="D543">
        <v>0</v>
      </c>
      <c r="E543">
        <v>101237</v>
      </c>
      <c r="F543">
        <v>18</v>
      </c>
      <c r="G543">
        <v>4.9000000000000004</v>
      </c>
      <c r="H543">
        <v>10</v>
      </c>
      <c r="I543" t="s">
        <v>50</v>
      </c>
    </row>
    <row r="544" spans="1:9">
      <c r="A544">
        <v>100543</v>
      </c>
      <c r="B544" t="s">
        <v>278</v>
      </c>
      <c r="C544" t="s">
        <v>111</v>
      </c>
      <c r="D544">
        <v>75000</v>
      </c>
      <c r="E544">
        <v>117265</v>
      </c>
      <c r="F544">
        <v>18</v>
      </c>
      <c r="G544">
        <v>2.6</v>
      </c>
      <c r="H544">
        <v>9</v>
      </c>
      <c r="I544" t="s">
        <v>93</v>
      </c>
    </row>
    <row r="545" spans="1:9">
      <c r="A545">
        <v>100544</v>
      </c>
      <c r="B545" t="s">
        <v>110</v>
      </c>
      <c r="C545" t="s">
        <v>111</v>
      </c>
      <c r="D545">
        <v>50000</v>
      </c>
      <c r="E545">
        <v>59846</v>
      </c>
      <c r="F545">
        <v>21</v>
      </c>
      <c r="G545">
        <v>2.4</v>
      </c>
      <c r="H545">
        <v>6</v>
      </c>
      <c r="I545" t="s">
        <v>93</v>
      </c>
    </row>
    <row r="546" spans="1:9">
      <c r="A546">
        <v>100545</v>
      </c>
      <c r="B546" t="s">
        <v>119</v>
      </c>
      <c r="C546" t="s">
        <v>92</v>
      </c>
      <c r="D546">
        <v>150000</v>
      </c>
      <c r="E546">
        <v>79404</v>
      </c>
      <c r="F546">
        <v>23</v>
      </c>
      <c r="G546">
        <v>4.4000000000000004</v>
      </c>
      <c r="H546">
        <v>3</v>
      </c>
      <c r="I546" t="s">
        <v>93</v>
      </c>
    </row>
    <row r="547" spans="1:9">
      <c r="A547">
        <v>100546</v>
      </c>
      <c r="B547" t="s">
        <v>321</v>
      </c>
      <c r="C547" t="s">
        <v>92</v>
      </c>
      <c r="D547">
        <v>0</v>
      </c>
      <c r="E547">
        <v>173537</v>
      </c>
      <c r="F547">
        <v>16</v>
      </c>
      <c r="G547">
        <v>2.6</v>
      </c>
      <c r="H547">
        <v>15</v>
      </c>
      <c r="I547" t="s">
        <v>93</v>
      </c>
    </row>
    <row r="548" spans="1:9">
      <c r="A548">
        <v>100547</v>
      </c>
      <c r="B548" t="s">
        <v>199</v>
      </c>
      <c r="C548" t="s">
        <v>107</v>
      </c>
      <c r="D548">
        <v>120000</v>
      </c>
      <c r="E548">
        <v>145884</v>
      </c>
      <c r="F548">
        <v>21</v>
      </c>
      <c r="G548">
        <v>3.5</v>
      </c>
      <c r="H548">
        <v>7</v>
      </c>
      <c r="I548" t="s">
        <v>93</v>
      </c>
    </row>
    <row r="549" spans="1:9">
      <c r="A549">
        <v>100548</v>
      </c>
      <c r="B549" t="s">
        <v>247</v>
      </c>
      <c r="C549" t="s">
        <v>92</v>
      </c>
      <c r="D549">
        <v>150000</v>
      </c>
      <c r="E549">
        <v>141191</v>
      </c>
      <c r="F549">
        <v>21</v>
      </c>
      <c r="G549">
        <v>4.4000000000000004</v>
      </c>
      <c r="H549">
        <v>0</v>
      </c>
      <c r="I549" t="s">
        <v>93</v>
      </c>
    </row>
    <row r="550" spans="1:9">
      <c r="A550">
        <v>100549</v>
      </c>
      <c r="B550" t="s">
        <v>176</v>
      </c>
      <c r="C550" t="s">
        <v>111</v>
      </c>
      <c r="D550">
        <v>120000</v>
      </c>
      <c r="E550">
        <v>39618</v>
      </c>
      <c r="F550">
        <v>25</v>
      </c>
      <c r="G550">
        <v>2</v>
      </c>
      <c r="H550">
        <v>12</v>
      </c>
      <c r="I550" t="s">
        <v>93</v>
      </c>
    </row>
    <row r="551" spans="1:9">
      <c r="A551">
        <v>100550</v>
      </c>
      <c r="B551" t="s">
        <v>327</v>
      </c>
      <c r="C551" t="s">
        <v>107</v>
      </c>
      <c r="D551">
        <v>120000</v>
      </c>
      <c r="E551">
        <v>157451</v>
      </c>
      <c r="F551">
        <v>22</v>
      </c>
      <c r="G551">
        <v>5</v>
      </c>
      <c r="H551">
        <v>10</v>
      </c>
      <c r="I551" t="s">
        <v>93</v>
      </c>
    </row>
    <row r="552" spans="1:9">
      <c r="A552">
        <v>100551</v>
      </c>
      <c r="B552" t="s">
        <v>194</v>
      </c>
      <c r="C552" t="s">
        <v>95</v>
      </c>
      <c r="D552">
        <v>120000</v>
      </c>
      <c r="E552">
        <v>97621</v>
      </c>
      <c r="F552">
        <v>21</v>
      </c>
      <c r="G552">
        <v>3.5</v>
      </c>
      <c r="H552">
        <v>15</v>
      </c>
      <c r="I552" t="s">
        <v>93</v>
      </c>
    </row>
    <row r="553" spans="1:9">
      <c r="A553">
        <v>100552</v>
      </c>
      <c r="B553" t="s">
        <v>323</v>
      </c>
      <c r="C553" t="s">
        <v>95</v>
      </c>
      <c r="D553">
        <v>120000</v>
      </c>
      <c r="E553">
        <v>111170</v>
      </c>
      <c r="F553">
        <v>19</v>
      </c>
      <c r="G553">
        <v>4.5</v>
      </c>
      <c r="H553">
        <v>11</v>
      </c>
      <c r="I553" t="s">
        <v>50</v>
      </c>
    </row>
    <row r="554" spans="1:9">
      <c r="A554">
        <v>100553</v>
      </c>
      <c r="B554" t="s">
        <v>165</v>
      </c>
      <c r="C554" t="s">
        <v>111</v>
      </c>
      <c r="D554">
        <v>100000</v>
      </c>
      <c r="E554">
        <v>98257</v>
      </c>
      <c r="F554">
        <v>26</v>
      </c>
      <c r="G554">
        <v>3.3</v>
      </c>
      <c r="H554">
        <v>13</v>
      </c>
      <c r="I554" t="s">
        <v>93</v>
      </c>
    </row>
    <row r="555" spans="1:9">
      <c r="A555">
        <v>100554</v>
      </c>
      <c r="B555" t="s">
        <v>311</v>
      </c>
      <c r="C555" t="s">
        <v>95</v>
      </c>
      <c r="D555">
        <v>120000</v>
      </c>
      <c r="E555">
        <v>111743</v>
      </c>
      <c r="F555">
        <v>17</v>
      </c>
      <c r="G555">
        <v>4.2</v>
      </c>
      <c r="H555">
        <v>5</v>
      </c>
      <c r="I555" t="s">
        <v>93</v>
      </c>
    </row>
    <row r="556" spans="1:9">
      <c r="A556">
        <v>100555</v>
      </c>
      <c r="B556" t="s">
        <v>328</v>
      </c>
      <c r="C556" t="s">
        <v>95</v>
      </c>
      <c r="D556">
        <v>50000</v>
      </c>
      <c r="E556">
        <v>155771</v>
      </c>
      <c r="F556">
        <v>22</v>
      </c>
      <c r="G556">
        <v>4.4000000000000004</v>
      </c>
      <c r="H556">
        <v>0</v>
      </c>
      <c r="I556" t="s">
        <v>93</v>
      </c>
    </row>
    <row r="557" spans="1:9">
      <c r="A557">
        <v>100556</v>
      </c>
      <c r="B557" t="s">
        <v>284</v>
      </c>
      <c r="C557" t="s">
        <v>107</v>
      </c>
      <c r="D557">
        <v>120000</v>
      </c>
      <c r="E557">
        <v>159555</v>
      </c>
      <c r="F557">
        <v>18</v>
      </c>
      <c r="G557">
        <v>3</v>
      </c>
      <c r="H557">
        <v>7</v>
      </c>
      <c r="I557" t="s">
        <v>93</v>
      </c>
    </row>
    <row r="558" spans="1:9">
      <c r="A558">
        <v>100557</v>
      </c>
      <c r="B558" t="s">
        <v>307</v>
      </c>
      <c r="C558" t="s">
        <v>95</v>
      </c>
      <c r="D558">
        <v>150000</v>
      </c>
      <c r="E558">
        <v>92082</v>
      </c>
      <c r="F558">
        <v>26</v>
      </c>
      <c r="G558">
        <v>3.3</v>
      </c>
      <c r="H558">
        <v>5</v>
      </c>
      <c r="I558" t="s">
        <v>50</v>
      </c>
    </row>
    <row r="559" spans="1:9">
      <c r="A559">
        <v>100558</v>
      </c>
      <c r="B559" t="s">
        <v>101</v>
      </c>
      <c r="C559" t="s">
        <v>107</v>
      </c>
      <c r="D559">
        <v>150000</v>
      </c>
      <c r="E559">
        <v>94784</v>
      </c>
      <c r="F559">
        <v>24</v>
      </c>
      <c r="G559">
        <v>2.7</v>
      </c>
      <c r="H559">
        <v>11</v>
      </c>
      <c r="I559" t="s">
        <v>93</v>
      </c>
    </row>
    <row r="560" spans="1:9">
      <c r="A560">
        <v>100559</v>
      </c>
      <c r="B560" t="s">
        <v>138</v>
      </c>
      <c r="C560" t="s">
        <v>95</v>
      </c>
      <c r="D560">
        <v>100000</v>
      </c>
      <c r="E560">
        <v>42018</v>
      </c>
      <c r="F560">
        <v>28</v>
      </c>
      <c r="G560">
        <v>2.1</v>
      </c>
      <c r="H560">
        <v>15</v>
      </c>
      <c r="I560" t="s">
        <v>93</v>
      </c>
    </row>
    <row r="561" spans="1:9">
      <c r="A561">
        <v>100560</v>
      </c>
      <c r="B561" t="s">
        <v>329</v>
      </c>
      <c r="C561" t="s">
        <v>92</v>
      </c>
      <c r="D561">
        <v>100000</v>
      </c>
      <c r="E561">
        <v>77737</v>
      </c>
      <c r="F561">
        <v>21</v>
      </c>
      <c r="G561">
        <v>2.1</v>
      </c>
      <c r="H561">
        <v>7</v>
      </c>
      <c r="I561" t="s">
        <v>93</v>
      </c>
    </row>
    <row r="562" spans="1:9">
      <c r="A562">
        <v>100561</v>
      </c>
      <c r="B562" t="s">
        <v>321</v>
      </c>
      <c r="C562" t="s">
        <v>107</v>
      </c>
      <c r="D562">
        <v>0</v>
      </c>
      <c r="E562">
        <v>147687</v>
      </c>
      <c r="F562">
        <v>17</v>
      </c>
      <c r="G562">
        <v>3.8</v>
      </c>
      <c r="H562">
        <v>8</v>
      </c>
      <c r="I562" t="s">
        <v>93</v>
      </c>
    </row>
    <row r="563" spans="1:9">
      <c r="A563">
        <v>100562</v>
      </c>
      <c r="B563" t="s">
        <v>131</v>
      </c>
      <c r="C563" t="s">
        <v>111</v>
      </c>
      <c r="D563">
        <v>75000</v>
      </c>
      <c r="E563">
        <v>66347</v>
      </c>
      <c r="F563">
        <v>25</v>
      </c>
      <c r="G563">
        <v>2.2000000000000002</v>
      </c>
      <c r="H563">
        <v>1</v>
      </c>
      <c r="I563" t="s">
        <v>93</v>
      </c>
    </row>
    <row r="564" spans="1:9">
      <c r="A564">
        <v>100563</v>
      </c>
      <c r="B564" t="s">
        <v>203</v>
      </c>
      <c r="C564" t="s">
        <v>92</v>
      </c>
      <c r="D564">
        <v>75000</v>
      </c>
      <c r="E564">
        <v>141175</v>
      </c>
      <c r="F564">
        <v>28</v>
      </c>
      <c r="G564">
        <v>2.5</v>
      </c>
      <c r="H564">
        <v>12</v>
      </c>
      <c r="I564" t="s">
        <v>93</v>
      </c>
    </row>
    <row r="565" spans="1:9">
      <c r="A565">
        <v>100564</v>
      </c>
      <c r="B565" t="s">
        <v>229</v>
      </c>
      <c r="C565" t="s">
        <v>95</v>
      </c>
      <c r="D565">
        <v>50000</v>
      </c>
      <c r="E565">
        <v>119417</v>
      </c>
      <c r="F565">
        <v>21</v>
      </c>
      <c r="G565">
        <v>3.2</v>
      </c>
      <c r="H565">
        <v>15</v>
      </c>
      <c r="I565" t="s">
        <v>93</v>
      </c>
    </row>
    <row r="566" spans="1:9">
      <c r="A566">
        <v>100565</v>
      </c>
      <c r="B566" t="s">
        <v>245</v>
      </c>
      <c r="C566" t="s">
        <v>107</v>
      </c>
      <c r="D566">
        <v>0</v>
      </c>
      <c r="E566">
        <v>85172</v>
      </c>
      <c r="F566">
        <v>19</v>
      </c>
      <c r="G566">
        <v>2.8</v>
      </c>
      <c r="H566">
        <v>10</v>
      </c>
      <c r="I566" t="s">
        <v>93</v>
      </c>
    </row>
    <row r="567" spans="1:9">
      <c r="A567">
        <v>100566</v>
      </c>
      <c r="B567" t="s">
        <v>180</v>
      </c>
      <c r="C567" t="s">
        <v>95</v>
      </c>
      <c r="D567">
        <v>120000</v>
      </c>
      <c r="E567">
        <v>117712</v>
      </c>
      <c r="F567">
        <v>24</v>
      </c>
      <c r="G567">
        <v>1.8</v>
      </c>
      <c r="H567">
        <v>1</v>
      </c>
      <c r="I567" t="s">
        <v>50</v>
      </c>
    </row>
    <row r="568" spans="1:9">
      <c r="A568">
        <v>100567</v>
      </c>
      <c r="B568" t="s">
        <v>138</v>
      </c>
      <c r="C568" t="s">
        <v>92</v>
      </c>
      <c r="D568">
        <v>120000</v>
      </c>
      <c r="E568">
        <v>160891</v>
      </c>
      <c r="F568">
        <v>26</v>
      </c>
      <c r="G568">
        <v>1.6</v>
      </c>
      <c r="H568">
        <v>2</v>
      </c>
      <c r="I568" t="s">
        <v>50</v>
      </c>
    </row>
    <row r="569" spans="1:9">
      <c r="A569">
        <v>100568</v>
      </c>
      <c r="B569" t="s">
        <v>255</v>
      </c>
      <c r="C569" t="s">
        <v>95</v>
      </c>
      <c r="D569">
        <v>75000</v>
      </c>
      <c r="E569">
        <v>98116</v>
      </c>
      <c r="F569">
        <v>22</v>
      </c>
      <c r="G569">
        <v>3.1</v>
      </c>
      <c r="H569">
        <v>0</v>
      </c>
      <c r="I569" t="s">
        <v>93</v>
      </c>
    </row>
    <row r="570" spans="1:9">
      <c r="A570">
        <v>100569</v>
      </c>
      <c r="B570" t="s">
        <v>150</v>
      </c>
      <c r="C570" t="s">
        <v>92</v>
      </c>
      <c r="D570">
        <v>100000</v>
      </c>
      <c r="E570">
        <v>30728</v>
      </c>
      <c r="F570">
        <v>22</v>
      </c>
      <c r="G570">
        <v>1.7</v>
      </c>
      <c r="H570">
        <v>4</v>
      </c>
      <c r="I570" t="s">
        <v>93</v>
      </c>
    </row>
    <row r="571" spans="1:9">
      <c r="A571">
        <v>100570</v>
      </c>
      <c r="B571" t="s">
        <v>197</v>
      </c>
      <c r="C571" t="s">
        <v>111</v>
      </c>
      <c r="D571">
        <v>120000</v>
      </c>
      <c r="E571">
        <v>77242</v>
      </c>
      <c r="F571">
        <v>19</v>
      </c>
      <c r="G571">
        <v>1.5</v>
      </c>
      <c r="H571">
        <v>15</v>
      </c>
      <c r="I571" t="s">
        <v>93</v>
      </c>
    </row>
    <row r="572" spans="1:9">
      <c r="A572">
        <v>100571</v>
      </c>
      <c r="B572" t="s">
        <v>194</v>
      </c>
      <c r="C572" t="s">
        <v>92</v>
      </c>
      <c r="D572">
        <v>0</v>
      </c>
      <c r="E572">
        <v>60761</v>
      </c>
      <c r="F572">
        <v>19</v>
      </c>
      <c r="G572">
        <v>5</v>
      </c>
      <c r="H572">
        <v>9</v>
      </c>
      <c r="I572" t="s">
        <v>93</v>
      </c>
    </row>
    <row r="573" spans="1:9">
      <c r="A573">
        <v>100572</v>
      </c>
      <c r="B573" t="s">
        <v>172</v>
      </c>
      <c r="C573" t="s">
        <v>95</v>
      </c>
      <c r="D573">
        <v>100000</v>
      </c>
      <c r="E573">
        <v>124727</v>
      </c>
      <c r="F573">
        <v>15</v>
      </c>
      <c r="G573">
        <v>2.9</v>
      </c>
      <c r="H573">
        <v>4</v>
      </c>
      <c r="I573" t="s">
        <v>93</v>
      </c>
    </row>
    <row r="574" spans="1:9">
      <c r="A574">
        <v>100573</v>
      </c>
      <c r="B574" t="s">
        <v>289</v>
      </c>
      <c r="C574" t="s">
        <v>92</v>
      </c>
      <c r="D574">
        <v>120000</v>
      </c>
      <c r="E574">
        <v>96820</v>
      </c>
      <c r="F574">
        <v>20</v>
      </c>
      <c r="G574">
        <v>5</v>
      </c>
      <c r="H574">
        <v>6</v>
      </c>
      <c r="I574" t="s">
        <v>93</v>
      </c>
    </row>
    <row r="575" spans="1:9">
      <c r="A575">
        <v>100574</v>
      </c>
      <c r="B575" t="s">
        <v>318</v>
      </c>
      <c r="C575" t="s">
        <v>92</v>
      </c>
      <c r="D575">
        <v>0</v>
      </c>
      <c r="E575">
        <v>91390</v>
      </c>
      <c r="F575">
        <v>25</v>
      </c>
      <c r="G575">
        <v>1.7</v>
      </c>
      <c r="H575">
        <v>2</v>
      </c>
      <c r="I575" t="s">
        <v>93</v>
      </c>
    </row>
    <row r="576" spans="1:9">
      <c r="A576">
        <v>100575</v>
      </c>
      <c r="B576" t="s">
        <v>330</v>
      </c>
      <c r="C576" t="s">
        <v>107</v>
      </c>
      <c r="D576">
        <v>75000</v>
      </c>
      <c r="E576">
        <v>78102</v>
      </c>
      <c r="F576">
        <v>16</v>
      </c>
      <c r="G576">
        <v>2.1</v>
      </c>
      <c r="H576">
        <v>0</v>
      </c>
      <c r="I576" t="s">
        <v>93</v>
      </c>
    </row>
    <row r="577" spans="1:9">
      <c r="A577">
        <v>100576</v>
      </c>
      <c r="B577" t="s">
        <v>291</v>
      </c>
      <c r="C577" t="s">
        <v>95</v>
      </c>
      <c r="D577">
        <v>75000</v>
      </c>
      <c r="E577">
        <v>155726</v>
      </c>
      <c r="F577">
        <v>30</v>
      </c>
      <c r="G577">
        <v>1.8</v>
      </c>
      <c r="H577">
        <v>14</v>
      </c>
      <c r="I577" t="s">
        <v>93</v>
      </c>
    </row>
    <row r="578" spans="1:9">
      <c r="A578">
        <v>100577</v>
      </c>
      <c r="B578" t="s">
        <v>169</v>
      </c>
      <c r="C578" t="s">
        <v>111</v>
      </c>
      <c r="D578">
        <v>75000</v>
      </c>
      <c r="E578">
        <v>115865</v>
      </c>
      <c r="F578">
        <v>26</v>
      </c>
      <c r="G578">
        <v>2.4</v>
      </c>
      <c r="H578">
        <v>8</v>
      </c>
      <c r="I578" t="s">
        <v>50</v>
      </c>
    </row>
    <row r="579" spans="1:9">
      <c r="A579">
        <v>100578</v>
      </c>
      <c r="B579" t="s">
        <v>110</v>
      </c>
      <c r="C579" t="s">
        <v>111</v>
      </c>
      <c r="D579">
        <v>75000</v>
      </c>
      <c r="E579">
        <v>37516</v>
      </c>
      <c r="F579">
        <v>24</v>
      </c>
      <c r="G579">
        <v>4.5</v>
      </c>
      <c r="H579">
        <v>0</v>
      </c>
      <c r="I579" t="s">
        <v>93</v>
      </c>
    </row>
    <row r="580" spans="1:9">
      <c r="A580">
        <v>100579</v>
      </c>
      <c r="B580" t="s">
        <v>223</v>
      </c>
      <c r="C580" t="s">
        <v>92</v>
      </c>
      <c r="D580">
        <v>100000</v>
      </c>
      <c r="E580">
        <v>163364</v>
      </c>
      <c r="F580">
        <v>17</v>
      </c>
      <c r="G580">
        <v>1.5</v>
      </c>
      <c r="H580">
        <v>1</v>
      </c>
      <c r="I580" t="s">
        <v>93</v>
      </c>
    </row>
    <row r="581" spans="1:9">
      <c r="A581">
        <v>100580</v>
      </c>
      <c r="B581" t="s">
        <v>164</v>
      </c>
      <c r="C581" t="s">
        <v>92</v>
      </c>
      <c r="D581">
        <v>150000</v>
      </c>
      <c r="E581">
        <v>116193</v>
      </c>
      <c r="F581">
        <v>27</v>
      </c>
      <c r="G581">
        <v>3.5</v>
      </c>
      <c r="H581">
        <v>14</v>
      </c>
      <c r="I581" t="s">
        <v>93</v>
      </c>
    </row>
    <row r="582" spans="1:9">
      <c r="A582">
        <v>100581</v>
      </c>
      <c r="B582" t="s">
        <v>234</v>
      </c>
      <c r="C582" t="s">
        <v>107</v>
      </c>
      <c r="D582">
        <v>120000</v>
      </c>
      <c r="E582">
        <v>96721</v>
      </c>
      <c r="F582">
        <v>21</v>
      </c>
      <c r="G582">
        <v>1.7</v>
      </c>
      <c r="H582">
        <v>15</v>
      </c>
      <c r="I582" t="s">
        <v>50</v>
      </c>
    </row>
    <row r="583" spans="1:9">
      <c r="A583">
        <v>100582</v>
      </c>
      <c r="B583" t="s">
        <v>122</v>
      </c>
      <c r="C583" t="s">
        <v>111</v>
      </c>
      <c r="D583">
        <v>75000</v>
      </c>
      <c r="E583">
        <v>46861</v>
      </c>
      <c r="F583">
        <v>18</v>
      </c>
      <c r="G583">
        <v>2.4</v>
      </c>
      <c r="H583">
        <v>2</v>
      </c>
      <c r="I583" t="s">
        <v>50</v>
      </c>
    </row>
    <row r="584" spans="1:9">
      <c r="A584">
        <v>100583</v>
      </c>
      <c r="B584" t="s">
        <v>150</v>
      </c>
      <c r="C584" t="s">
        <v>111</v>
      </c>
      <c r="D584">
        <v>100000</v>
      </c>
      <c r="E584">
        <v>149293</v>
      </c>
      <c r="F584">
        <v>19</v>
      </c>
      <c r="G584">
        <v>3</v>
      </c>
      <c r="H584">
        <v>13</v>
      </c>
      <c r="I584" t="s">
        <v>93</v>
      </c>
    </row>
    <row r="585" spans="1:9">
      <c r="A585">
        <v>100584</v>
      </c>
      <c r="B585" t="s">
        <v>97</v>
      </c>
      <c r="C585" t="s">
        <v>95</v>
      </c>
      <c r="D585">
        <v>75000</v>
      </c>
      <c r="E585">
        <v>111551</v>
      </c>
      <c r="F585">
        <v>15</v>
      </c>
      <c r="G585">
        <v>2</v>
      </c>
      <c r="H585">
        <v>14</v>
      </c>
      <c r="I585" t="s">
        <v>93</v>
      </c>
    </row>
    <row r="586" spans="1:9">
      <c r="A586">
        <v>100585</v>
      </c>
      <c r="B586" t="s">
        <v>159</v>
      </c>
      <c r="C586" t="s">
        <v>92</v>
      </c>
      <c r="D586">
        <v>50000</v>
      </c>
      <c r="E586">
        <v>80266</v>
      </c>
      <c r="F586">
        <v>30</v>
      </c>
      <c r="G586">
        <v>1.8</v>
      </c>
      <c r="H586">
        <v>13</v>
      </c>
      <c r="I586" t="s">
        <v>93</v>
      </c>
    </row>
    <row r="587" spans="1:9">
      <c r="A587">
        <v>100586</v>
      </c>
      <c r="B587" t="s">
        <v>331</v>
      </c>
      <c r="C587" t="s">
        <v>92</v>
      </c>
      <c r="D587">
        <v>75000</v>
      </c>
      <c r="E587">
        <v>77325</v>
      </c>
      <c r="F587">
        <v>21</v>
      </c>
      <c r="G587">
        <v>1.6</v>
      </c>
      <c r="H587">
        <v>7</v>
      </c>
      <c r="I587" t="s">
        <v>50</v>
      </c>
    </row>
    <row r="588" spans="1:9">
      <c r="A588">
        <v>100587</v>
      </c>
      <c r="B588" t="s">
        <v>173</v>
      </c>
      <c r="C588" t="s">
        <v>107</v>
      </c>
      <c r="D588">
        <v>75000</v>
      </c>
      <c r="E588">
        <v>102518</v>
      </c>
      <c r="F588">
        <v>28</v>
      </c>
      <c r="G588">
        <v>4.3</v>
      </c>
      <c r="H588">
        <v>5</v>
      </c>
      <c r="I588" t="s">
        <v>93</v>
      </c>
    </row>
    <row r="589" spans="1:9">
      <c r="A589">
        <v>100588</v>
      </c>
      <c r="B589" t="s">
        <v>177</v>
      </c>
      <c r="C589" t="s">
        <v>111</v>
      </c>
      <c r="D589">
        <v>75000</v>
      </c>
      <c r="E589">
        <v>170143</v>
      </c>
      <c r="F589">
        <v>20</v>
      </c>
      <c r="G589">
        <v>2.7</v>
      </c>
      <c r="H589">
        <v>8</v>
      </c>
      <c r="I589" t="s">
        <v>93</v>
      </c>
    </row>
    <row r="590" spans="1:9">
      <c r="A590">
        <v>100589</v>
      </c>
      <c r="B590" t="s">
        <v>114</v>
      </c>
      <c r="C590" t="s">
        <v>95</v>
      </c>
      <c r="D590">
        <v>120000</v>
      </c>
      <c r="E590">
        <v>64259</v>
      </c>
      <c r="F590">
        <v>30</v>
      </c>
      <c r="G590">
        <v>2.4</v>
      </c>
      <c r="H590">
        <v>11</v>
      </c>
      <c r="I590" t="s">
        <v>93</v>
      </c>
    </row>
    <row r="591" spans="1:9">
      <c r="A591">
        <v>100590</v>
      </c>
      <c r="B591" t="s">
        <v>317</v>
      </c>
      <c r="C591" t="s">
        <v>95</v>
      </c>
      <c r="D591">
        <v>50000</v>
      </c>
      <c r="E591">
        <v>169902</v>
      </c>
      <c r="F591">
        <v>24</v>
      </c>
      <c r="G591">
        <v>4.7</v>
      </c>
      <c r="H591">
        <v>11</v>
      </c>
      <c r="I591" t="s">
        <v>93</v>
      </c>
    </row>
    <row r="592" spans="1:9">
      <c r="A592">
        <v>100591</v>
      </c>
      <c r="B592" t="s">
        <v>167</v>
      </c>
      <c r="C592" t="s">
        <v>111</v>
      </c>
      <c r="D592">
        <v>0</v>
      </c>
      <c r="E592">
        <v>89589</v>
      </c>
      <c r="F592">
        <v>15</v>
      </c>
      <c r="G592">
        <v>4.5999999999999996</v>
      </c>
      <c r="H592">
        <v>4</v>
      </c>
      <c r="I592" t="s">
        <v>93</v>
      </c>
    </row>
    <row r="593" spans="1:9">
      <c r="A593">
        <v>100592</v>
      </c>
      <c r="B593" t="s">
        <v>254</v>
      </c>
      <c r="C593" t="s">
        <v>95</v>
      </c>
      <c r="D593">
        <v>0</v>
      </c>
      <c r="E593">
        <v>55868</v>
      </c>
      <c r="F593">
        <v>17</v>
      </c>
      <c r="G593">
        <v>3.4</v>
      </c>
      <c r="H593">
        <v>2</v>
      </c>
      <c r="I593" t="s">
        <v>93</v>
      </c>
    </row>
    <row r="594" spans="1:9">
      <c r="A594">
        <v>100593</v>
      </c>
      <c r="B594" t="s">
        <v>332</v>
      </c>
      <c r="C594" t="s">
        <v>95</v>
      </c>
      <c r="D594">
        <v>50000</v>
      </c>
      <c r="E594">
        <v>163408</v>
      </c>
      <c r="F594">
        <v>24</v>
      </c>
      <c r="G594">
        <v>2.2999999999999998</v>
      </c>
      <c r="H594">
        <v>6</v>
      </c>
      <c r="I594" t="s">
        <v>93</v>
      </c>
    </row>
    <row r="595" spans="1:9">
      <c r="A595">
        <v>100594</v>
      </c>
      <c r="B595" t="s">
        <v>236</v>
      </c>
      <c r="C595" t="s">
        <v>107</v>
      </c>
      <c r="D595">
        <v>120000</v>
      </c>
      <c r="E595">
        <v>105230</v>
      </c>
      <c r="F595">
        <v>18</v>
      </c>
      <c r="G595">
        <v>3.7</v>
      </c>
      <c r="H595">
        <v>2</v>
      </c>
      <c r="I595" t="s">
        <v>93</v>
      </c>
    </row>
    <row r="596" spans="1:9">
      <c r="A596">
        <v>100595</v>
      </c>
      <c r="B596" t="s">
        <v>251</v>
      </c>
      <c r="C596" t="s">
        <v>111</v>
      </c>
      <c r="D596">
        <v>120000</v>
      </c>
      <c r="E596">
        <v>134339</v>
      </c>
      <c r="F596">
        <v>23</v>
      </c>
      <c r="G596">
        <v>4.7</v>
      </c>
      <c r="H596">
        <v>1</v>
      </c>
      <c r="I596" t="s">
        <v>93</v>
      </c>
    </row>
    <row r="597" spans="1:9">
      <c r="A597">
        <v>100596</v>
      </c>
      <c r="B597" t="s">
        <v>245</v>
      </c>
      <c r="C597" t="s">
        <v>107</v>
      </c>
      <c r="D597">
        <v>150000</v>
      </c>
      <c r="E597">
        <v>172121</v>
      </c>
      <c r="F597">
        <v>15</v>
      </c>
      <c r="G597">
        <v>3.2</v>
      </c>
      <c r="H597">
        <v>15</v>
      </c>
      <c r="I597" t="s">
        <v>93</v>
      </c>
    </row>
    <row r="598" spans="1:9">
      <c r="A598">
        <v>100597</v>
      </c>
      <c r="B598" t="s">
        <v>98</v>
      </c>
      <c r="C598" t="s">
        <v>92</v>
      </c>
      <c r="D598">
        <v>150000</v>
      </c>
      <c r="E598">
        <v>107729</v>
      </c>
      <c r="F598">
        <v>28</v>
      </c>
      <c r="G598">
        <v>3.2</v>
      </c>
      <c r="H598">
        <v>8</v>
      </c>
      <c r="I598" t="s">
        <v>93</v>
      </c>
    </row>
    <row r="599" spans="1:9">
      <c r="A599">
        <v>100598</v>
      </c>
      <c r="B599" t="s">
        <v>250</v>
      </c>
      <c r="C599" t="s">
        <v>92</v>
      </c>
      <c r="D599">
        <v>150000</v>
      </c>
      <c r="E599">
        <v>179992</v>
      </c>
      <c r="F599">
        <v>18</v>
      </c>
      <c r="G599">
        <v>2.1</v>
      </c>
      <c r="H599">
        <v>7</v>
      </c>
      <c r="I599" t="s">
        <v>93</v>
      </c>
    </row>
    <row r="600" spans="1:9">
      <c r="A600">
        <v>100599</v>
      </c>
      <c r="B600" t="s">
        <v>203</v>
      </c>
      <c r="C600" t="s">
        <v>92</v>
      </c>
      <c r="D600">
        <v>120000</v>
      </c>
      <c r="E600">
        <v>104688</v>
      </c>
      <c r="F600">
        <v>21</v>
      </c>
      <c r="G600">
        <v>2.2000000000000002</v>
      </c>
      <c r="H600">
        <v>3</v>
      </c>
      <c r="I600" t="s">
        <v>93</v>
      </c>
    </row>
    <row r="601" spans="1:9">
      <c r="A601">
        <v>100600</v>
      </c>
      <c r="B601" t="s">
        <v>224</v>
      </c>
      <c r="C601" t="s">
        <v>92</v>
      </c>
      <c r="D601">
        <v>50000</v>
      </c>
      <c r="E601">
        <v>143127</v>
      </c>
      <c r="F601">
        <v>18</v>
      </c>
      <c r="G601">
        <v>4.4000000000000004</v>
      </c>
      <c r="H601">
        <v>2</v>
      </c>
      <c r="I601" t="s">
        <v>93</v>
      </c>
    </row>
    <row r="602" spans="1:9">
      <c r="A602">
        <v>100601</v>
      </c>
      <c r="B602" t="s">
        <v>333</v>
      </c>
      <c r="C602" t="s">
        <v>107</v>
      </c>
      <c r="D602">
        <v>120000</v>
      </c>
      <c r="E602">
        <v>101407</v>
      </c>
      <c r="F602">
        <v>30</v>
      </c>
      <c r="G602">
        <v>4.9000000000000004</v>
      </c>
      <c r="H602">
        <v>10</v>
      </c>
      <c r="I602" t="s">
        <v>93</v>
      </c>
    </row>
    <row r="603" spans="1:9">
      <c r="A603">
        <v>100602</v>
      </c>
      <c r="B603" t="s">
        <v>227</v>
      </c>
      <c r="C603" t="s">
        <v>95</v>
      </c>
      <c r="D603">
        <v>75000</v>
      </c>
      <c r="E603">
        <v>165581</v>
      </c>
      <c r="F603">
        <v>26</v>
      </c>
      <c r="G603">
        <v>4.8</v>
      </c>
      <c r="H603">
        <v>9</v>
      </c>
      <c r="I603" t="s">
        <v>93</v>
      </c>
    </row>
    <row r="604" spans="1:9">
      <c r="A604">
        <v>100603</v>
      </c>
      <c r="B604" t="s">
        <v>295</v>
      </c>
      <c r="C604" t="s">
        <v>111</v>
      </c>
      <c r="D604">
        <v>100000</v>
      </c>
      <c r="E604">
        <v>161449</v>
      </c>
      <c r="F604">
        <v>28</v>
      </c>
      <c r="G604">
        <v>4</v>
      </c>
      <c r="H604">
        <v>2</v>
      </c>
      <c r="I604" t="s">
        <v>93</v>
      </c>
    </row>
    <row r="605" spans="1:9">
      <c r="A605">
        <v>100604</v>
      </c>
      <c r="B605" t="s">
        <v>240</v>
      </c>
      <c r="C605" t="s">
        <v>92</v>
      </c>
      <c r="D605">
        <v>150000</v>
      </c>
      <c r="E605">
        <v>126597</v>
      </c>
      <c r="F605">
        <v>19</v>
      </c>
      <c r="G605">
        <v>3.8</v>
      </c>
      <c r="H605">
        <v>12</v>
      </c>
      <c r="I605" t="s">
        <v>93</v>
      </c>
    </row>
    <row r="606" spans="1:9">
      <c r="A606">
        <v>100605</v>
      </c>
      <c r="B606" t="s">
        <v>274</v>
      </c>
      <c r="C606" t="s">
        <v>92</v>
      </c>
      <c r="D606">
        <v>150000</v>
      </c>
      <c r="E606">
        <v>139026</v>
      </c>
      <c r="F606">
        <v>15</v>
      </c>
      <c r="G606">
        <v>1.7</v>
      </c>
      <c r="H606">
        <v>13</v>
      </c>
      <c r="I606" t="s">
        <v>93</v>
      </c>
    </row>
    <row r="607" spans="1:9">
      <c r="A607">
        <v>100606</v>
      </c>
      <c r="B607" t="s">
        <v>158</v>
      </c>
      <c r="C607" t="s">
        <v>111</v>
      </c>
      <c r="D607">
        <v>50000</v>
      </c>
      <c r="E607">
        <v>59720</v>
      </c>
      <c r="F607">
        <v>30</v>
      </c>
      <c r="G607">
        <v>3.7</v>
      </c>
      <c r="H607">
        <v>2</v>
      </c>
      <c r="I607" t="s">
        <v>93</v>
      </c>
    </row>
    <row r="608" spans="1:9">
      <c r="A608">
        <v>100607</v>
      </c>
      <c r="B608" t="s">
        <v>104</v>
      </c>
      <c r="C608" t="s">
        <v>111</v>
      </c>
      <c r="D608">
        <v>120000</v>
      </c>
      <c r="E608">
        <v>47899</v>
      </c>
      <c r="F608">
        <v>17</v>
      </c>
      <c r="G608">
        <v>2.4</v>
      </c>
      <c r="H608">
        <v>6</v>
      </c>
      <c r="I608" t="s">
        <v>93</v>
      </c>
    </row>
    <row r="609" spans="1:9">
      <c r="A609">
        <v>100608</v>
      </c>
      <c r="B609" t="s">
        <v>224</v>
      </c>
      <c r="C609" t="s">
        <v>95</v>
      </c>
      <c r="D609">
        <v>120000</v>
      </c>
      <c r="E609">
        <v>107012</v>
      </c>
      <c r="F609">
        <v>25</v>
      </c>
      <c r="G609">
        <v>2.4</v>
      </c>
      <c r="H609">
        <v>12</v>
      </c>
      <c r="I609" t="s">
        <v>93</v>
      </c>
    </row>
    <row r="610" spans="1:9">
      <c r="A610">
        <v>100609</v>
      </c>
      <c r="B610" t="s">
        <v>184</v>
      </c>
      <c r="C610" t="s">
        <v>111</v>
      </c>
      <c r="D610">
        <v>75000</v>
      </c>
      <c r="E610">
        <v>39985</v>
      </c>
      <c r="F610">
        <v>22</v>
      </c>
      <c r="G610">
        <v>3.5</v>
      </c>
      <c r="H610">
        <v>12</v>
      </c>
      <c r="I610" t="s">
        <v>93</v>
      </c>
    </row>
    <row r="611" spans="1:9">
      <c r="A611">
        <v>100610</v>
      </c>
      <c r="B611" t="s">
        <v>172</v>
      </c>
      <c r="C611" t="s">
        <v>107</v>
      </c>
      <c r="D611">
        <v>0</v>
      </c>
      <c r="E611">
        <v>94692</v>
      </c>
      <c r="F611">
        <v>25</v>
      </c>
      <c r="G611">
        <v>2</v>
      </c>
      <c r="H611">
        <v>4</v>
      </c>
      <c r="I611" t="s">
        <v>93</v>
      </c>
    </row>
    <row r="612" spans="1:9">
      <c r="A612">
        <v>100611</v>
      </c>
      <c r="B612" t="s">
        <v>135</v>
      </c>
      <c r="C612" t="s">
        <v>92</v>
      </c>
      <c r="D612">
        <v>75000</v>
      </c>
      <c r="E612">
        <v>177674</v>
      </c>
      <c r="F612">
        <v>15</v>
      </c>
      <c r="G612">
        <v>4.3</v>
      </c>
      <c r="H612">
        <v>0</v>
      </c>
      <c r="I612" t="s">
        <v>93</v>
      </c>
    </row>
    <row r="613" spans="1:9">
      <c r="A613">
        <v>100612</v>
      </c>
      <c r="B613" t="s">
        <v>249</v>
      </c>
      <c r="C613" t="s">
        <v>95</v>
      </c>
      <c r="D613">
        <v>75000</v>
      </c>
      <c r="E613">
        <v>145280</v>
      </c>
      <c r="F613">
        <v>23</v>
      </c>
      <c r="G613">
        <v>3.7</v>
      </c>
      <c r="H613">
        <v>15</v>
      </c>
      <c r="I613" t="s">
        <v>93</v>
      </c>
    </row>
    <row r="614" spans="1:9">
      <c r="A614">
        <v>100613</v>
      </c>
      <c r="B614" t="s">
        <v>196</v>
      </c>
      <c r="C614" t="s">
        <v>95</v>
      </c>
      <c r="D614">
        <v>75000</v>
      </c>
      <c r="E614">
        <v>91106</v>
      </c>
      <c r="F614">
        <v>22</v>
      </c>
      <c r="G614">
        <v>2.6</v>
      </c>
      <c r="H614">
        <v>1</v>
      </c>
      <c r="I614" t="s">
        <v>93</v>
      </c>
    </row>
    <row r="615" spans="1:9">
      <c r="A615">
        <v>100614</v>
      </c>
      <c r="B615" t="s">
        <v>190</v>
      </c>
      <c r="C615" t="s">
        <v>111</v>
      </c>
      <c r="D615">
        <v>100000</v>
      </c>
      <c r="E615">
        <v>50667</v>
      </c>
      <c r="F615">
        <v>25</v>
      </c>
      <c r="G615">
        <v>3</v>
      </c>
      <c r="H615">
        <v>3</v>
      </c>
      <c r="I615" t="s">
        <v>93</v>
      </c>
    </row>
    <row r="616" spans="1:9">
      <c r="A616">
        <v>100615</v>
      </c>
      <c r="B616" t="s">
        <v>307</v>
      </c>
      <c r="C616" t="s">
        <v>95</v>
      </c>
      <c r="D616">
        <v>100000</v>
      </c>
      <c r="E616">
        <v>77326</v>
      </c>
      <c r="F616">
        <v>24</v>
      </c>
      <c r="G616">
        <v>4.2</v>
      </c>
      <c r="H616">
        <v>7</v>
      </c>
      <c r="I616" t="s">
        <v>93</v>
      </c>
    </row>
    <row r="617" spans="1:9">
      <c r="A617">
        <v>100616</v>
      </c>
      <c r="B617" t="s">
        <v>252</v>
      </c>
      <c r="C617" t="s">
        <v>95</v>
      </c>
      <c r="D617">
        <v>150000</v>
      </c>
      <c r="E617">
        <v>126987</v>
      </c>
      <c r="F617">
        <v>27</v>
      </c>
      <c r="G617">
        <v>2</v>
      </c>
      <c r="H617">
        <v>6</v>
      </c>
      <c r="I617" t="s">
        <v>93</v>
      </c>
    </row>
    <row r="618" spans="1:9">
      <c r="A618">
        <v>100617</v>
      </c>
      <c r="B618" t="s">
        <v>304</v>
      </c>
      <c r="C618" t="s">
        <v>95</v>
      </c>
      <c r="D618">
        <v>75000</v>
      </c>
      <c r="E618">
        <v>141598</v>
      </c>
      <c r="F618">
        <v>20</v>
      </c>
      <c r="G618">
        <v>3.1</v>
      </c>
      <c r="H618">
        <v>7</v>
      </c>
      <c r="I618" t="s">
        <v>93</v>
      </c>
    </row>
    <row r="619" spans="1:9">
      <c r="A619">
        <v>100618</v>
      </c>
      <c r="B619" t="s">
        <v>261</v>
      </c>
      <c r="C619" t="s">
        <v>92</v>
      </c>
      <c r="D619">
        <v>0</v>
      </c>
      <c r="E619">
        <v>98023</v>
      </c>
      <c r="F619">
        <v>20</v>
      </c>
      <c r="G619">
        <v>3.4</v>
      </c>
      <c r="H619">
        <v>7</v>
      </c>
      <c r="I619" t="s">
        <v>93</v>
      </c>
    </row>
    <row r="620" spans="1:9">
      <c r="A620">
        <v>100619</v>
      </c>
      <c r="B620" t="s">
        <v>268</v>
      </c>
      <c r="C620" t="s">
        <v>107</v>
      </c>
      <c r="D620">
        <v>150000</v>
      </c>
      <c r="E620">
        <v>90381</v>
      </c>
      <c r="F620">
        <v>29</v>
      </c>
      <c r="G620">
        <v>1.8</v>
      </c>
      <c r="H620">
        <v>9</v>
      </c>
      <c r="I620" t="s">
        <v>93</v>
      </c>
    </row>
    <row r="621" spans="1:9">
      <c r="A621">
        <v>100620</v>
      </c>
      <c r="B621" t="s">
        <v>334</v>
      </c>
      <c r="C621" t="s">
        <v>107</v>
      </c>
      <c r="D621">
        <v>100000</v>
      </c>
      <c r="E621">
        <v>113114</v>
      </c>
      <c r="F621">
        <v>28</v>
      </c>
      <c r="G621">
        <v>1.6</v>
      </c>
      <c r="H621">
        <v>9</v>
      </c>
      <c r="I621" t="s">
        <v>93</v>
      </c>
    </row>
    <row r="622" spans="1:9">
      <c r="A622">
        <v>100621</v>
      </c>
      <c r="B622" t="s">
        <v>131</v>
      </c>
      <c r="C622" t="s">
        <v>95</v>
      </c>
      <c r="D622">
        <v>100000</v>
      </c>
      <c r="E622">
        <v>102572</v>
      </c>
      <c r="F622">
        <v>27</v>
      </c>
      <c r="G622">
        <v>4.4000000000000004</v>
      </c>
      <c r="H622">
        <v>13</v>
      </c>
      <c r="I622" t="s">
        <v>93</v>
      </c>
    </row>
    <row r="623" spans="1:9">
      <c r="A623">
        <v>100622</v>
      </c>
      <c r="B623" t="s">
        <v>290</v>
      </c>
      <c r="C623" t="s">
        <v>111</v>
      </c>
      <c r="D623">
        <v>120000</v>
      </c>
      <c r="E623">
        <v>144584</v>
      </c>
      <c r="F623">
        <v>18</v>
      </c>
      <c r="G623">
        <v>4.5</v>
      </c>
      <c r="H623">
        <v>9</v>
      </c>
      <c r="I623" t="s">
        <v>93</v>
      </c>
    </row>
    <row r="624" spans="1:9">
      <c r="A624">
        <v>100623</v>
      </c>
      <c r="B624" t="s">
        <v>265</v>
      </c>
      <c r="C624" t="s">
        <v>95</v>
      </c>
      <c r="D624">
        <v>0</v>
      </c>
      <c r="E624">
        <v>37956</v>
      </c>
      <c r="F624">
        <v>25</v>
      </c>
      <c r="G624">
        <v>4.9000000000000004</v>
      </c>
      <c r="H624">
        <v>8</v>
      </c>
      <c r="I624" t="s">
        <v>93</v>
      </c>
    </row>
    <row r="625" spans="1:9">
      <c r="A625">
        <v>100624</v>
      </c>
      <c r="B625" t="s">
        <v>159</v>
      </c>
      <c r="C625" t="s">
        <v>107</v>
      </c>
      <c r="D625">
        <v>120000</v>
      </c>
      <c r="E625">
        <v>170224</v>
      </c>
      <c r="F625">
        <v>25</v>
      </c>
      <c r="G625">
        <v>5</v>
      </c>
      <c r="H625">
        <v>10</v>
      </c>
      <c r="I625" t="s">
        <v>93</v>
      </c>
    </row>
    <row r="626" spans="1:9">
      <c r="A626">
        <v>100625</v>
      </c>
      <c r="B626" t="s">
        <v>253</v>
      </c>
      <c r="C626" t="s">
        <v>111</v>
      </c>
      <c r="D626">
        <v>0</v>
      </c>
      <c r="E626">
        <v>138500</v>
      </c>
      <c r="F626">
        <v>21</v>
      </c>
      <c r="G626">
        <v>4.8</v>
      </c>
      <c r="H626">
        <v>2</v>
      </c>
      <c r="I626" t="s">
        <v>93</v>
      </c>
    </row>
    <row r="627" spans="1:9">
      <c r="A627">
        <v>100626</v>
      </c>
      <c r="B627" t="s">
        <v>194</v>
      </c>
      <c r="C627" t="s">
        <v>111</v>
      </c>
      <c r="D627">
        <v>120000</v>
      </c>
      <c r="E627">
        <v>34904</v>
      </c>
      <c r="F627">
        <v>20</v>
      </c>
      <c r="G627">
        <v>2.2000000000000002</v>
      </c>
      <c r="H627">
        <v>4</v>
      </c>
      <c r="I627" t="s">
        <v>93</v>
      </c>
    </row>
    <row r="628" spans="1:9">
      <c r="A628">
        <v>100627</v>
      </c>
      <c r="B628" t="s">
        <v>329</v>
      </c>
      <c r="C628" t="s">
        <v>107</v>
      </c>
      <c r="D628">
        <v>150000</v>
      </c>
      <c r="E628">
        <v>168743</v>
      </c>
      <c r="F628">
        <v>28</v>
      </c>
      <c r="G628">
        <v>4.5999999999999996</v>
      </c>
      <c r="H628">
        <v>1</v>
      </c>
      <c r="I628" t="s">
        <v>50</v>
      </c>
    </row>
    <row r="629" spans="1:9">
      <c r="A629">
        <v>100628</v>
      </c>
      <c r="B629" t="s">
        <v>279</v>
      </c>
      <c r="C629" t="s">
        <v>95</v>
      </c>
      <c r="D629">
        <v>75000</v>
      </c>
      <c r="E629">
        <v>31455</v>
      </c>
      <c r="F629">
        <v>18</v>
      </c>
      <c r="G629">
        <v>3.7</v>
      </c>
      <c r="H629">
        <v>7</v>
      </c>
      <c r="I629" t="s">
        <v>50</v>
      </c>
    </row>
    <row r="630" spans="1:9">
      <c r="A630">
        <v>100629</v>
      </c>
      <c r="B630" t="s">
        <v>193</v>
      </c>
      <c r="C630" t="s">
        <v>111</v>
      </c>
      <c r="D630">
        <v>0</v>
      </c>
      <c r="E630">
        <v>95958</v>
      </c>
      <c r="F630">
        <v>15</v>
      </c>
      <c r="G630">
        <v>4.7</v>
      </c>
      <c r="H630">
        <v>6</v>
      </c>
      <c r="I630" t="s">
        <v>93</v>
      </c>
    </row>
    <row r="631" spans="1:9">
      <c r="A631">
        <v>100630</v>
      </c>
      <c r="B631" t="s">
        <v>223</v>
      </c>
      <c r="C631" t="s">
        <v>111</v>
      </c>
      <c r="D631">
        <v>150000</v>
      </c>
      <c r="E631">
        <v>172038</v>
      </c>
      <c r="F631">
        <v>30</v>
      </c>
      <c r="G631">
        <v>4.5</v>
      </c>
      <c r="H631">
        <v>12</v>
      </c>
      <c r="I631" t="s">
        <v>93</v>
      </c>
    </row>
    <row r="632" spans="1:9">
      <c r="A632">
        <v>100631</v>
      </c>
      <c r="B632" t="s">
        <v>211</v>
      </c>
      <c r="C632" t="s">
        <v>107</v>
      </c>
      <c r="D632">
        <v>0</v>
      </c>
      <c r="E632">
        <v>124258</v>
      </c>
      <c r="F632">
        <v>23</v>
      </c>
      <c r="G632">
        <v>4.0999999999999996</v>
      </c>
      <c r="H632">
        <v>10</v>
      </c>
      <c r="I632" t="s">
        <v>93</v>
      </c>
    </row>
    <row r="633" spans="1:9">
      <c r="A633">
        <v>100632</v>
      </c>
      <c r="B633" t="s">
        <v>183</v>
      </c>
      <c r="C633" t="s">
        <v>92</v>
      </c>
      <c r="D633">
        <v>50000</v>
      </c>
      <c r="E633">
        <v>49485</v>
      </c>
      <c r="F633">
        <v>24</v>
      </c>
      <c r="G633">
        <v>1.7</v>
      </c>
      <c r="H633">
        <v>11</v>
      </c>
      <c r="I633" t="s">
        <v>93</v>
      </c>
    </row>
    <row r="634" spans="1:9">
      <c r="A634">
        <v>100633</v>
      </c>
      <c r="B634" t="s">
        <v>333</v>
      </c>
      <c r="C634" t="s">
        <v>107</v>
      </c>
      <c r="D634">
        <v>50000</v>
      </c>
      <c r="E634">
        <v>54568</v>
      </c>
      <c r="F634">
        <v>16</v>
      </c>
      <c r="G634">
        <v>2.7</v>
      </c>
      <c r="H634">
        <v>5</v>
      </c>
      <c r="I634" t="s">
        <v>93</v>
      </c>
    </row>
    <row r="635" spans="1:9">
      <c r="A635">
        <v>100634</v>
      </c>
      <c r="B635" t="s">
        <v>281</v>
      </c>
      <c r="C635" t="s">
        <v>95</v>
      </c>
      <c r="D635">
        <v>100000</v>
      </c>
      <c r="E635">
        <v>41094</v>
      </c>
      <c r="F635">
        <v>29</v>
      </c>
      <c r="G635">
        <v>2.1</v>
      </c>
      <c r="H635">
        <v>3</v>
      </c>
      <c r="I635" t="s">
        <v>93</v>
      </c>
    </row>
    <row r="636" spans="1:9">
      <c r="A636">
        <v>100635</v>
      </c>
      <c r="B636" t="s">
        <v>147</v>
      </c>
      <c r="C636" t="s">
        <v>92</v>
      </c>
      <c r="D636">
        <v>100000</v>
      </c>
      <c r="E636">
        <v>73080</v>
      </c>
      <c r="F636">
        <v>23</v>
      </c>
      <c r="G636">
        <v>3</v>
      </c>
      <c r="H636">
        <v>10</v>
      </c>
      <c r="I636" t="s">
        <v>93</v>
      </c>
    </row>
    <row r="637" spans="1:9">
      <c r="A637">
        <v>100636</v>
      </c>
      <c r="B637" t="s">
        <v>264</v>
      </c>
      <c r="C637" t="s">
        <v>111</v>
      </c>
      <c r="D637">
        <v>50000</v>
      </c>
      <c r="E637">
        <v>149580</v>
      </c>
      <c r="F637">
        <v>21</v>
      </c>
      <c r="G637">
        <v>4.2</v>
      </c>
      <c r="H637">
        <v>10</v>
      </c>
      <c r="I637" t="s">
        <v>50</v>
      </c>
    </row>
    <row r="638" spans="1:9">
      <c r="A638">
        <v>100637</v>
      </c>
      <c r="B638" t="s">
        <v>335</v>
      </c>
      <c r="C638" t="s">
        <v>92</v>
      </c>
      <c r="D638">
        <v>100000</v>
      </c>
      <c r="E638">
        <v>60533</v>
      </c>
      <c r="F638">
        <v>26</v>
      </c>
      <c r="G638">
        <v>1.8</v>
      </c>
      <c r="H638">
        <v>8</v>
      </c>
      <c r="I638" t="s">
        <v>93</v>
      </c>
    </row>
    <row r="639" spans="1:9">
      <c r="A639">
        <v>100638</v>
      </c>
      <c r="B639" t="s">
        <v>320</v>
      </c>
      <c r="C639" t="s">
        <v>111</v>
      </c>
      <c r="D639">
        <v>75000</v>
      </c>
      <c r="E639">
        <v>94745</v>
      </c>
      <c r="F639">
        <v>25</v>
      </c>
      <c r="G639">
        <v>3</v>
      </c>
      <c r="H639">
        <v>15</v>
      </c>
      <c r="I639" t="s">
        <v>93</v>
      </c>
    </row>
    <row r="640" spans="1:9">
      <c r="A640">
        <v>100639</v>
      </c>
      <c r="B640" t="s">
        <v>281</v>
      </c>
      <c r="C640" t="s">
        <v>92</v>
      </c>
      <c r="D640">
        <v>100000</v>
      </c>
      <c r="E640">
        <v>175985</v>
      </c>
      <c r="F640">
        <v>26</v>
      </c>
      <c r="G640">
        <v>3.5</v>
      </c>
      <c r="H640">
        <v>2</v>
      </c>
      <c r="I640" t="s">
        <v>50</v>
      </c>
    </row>
    <row r="641" spans="1:9">
      <c r="A641">
        <v>100640</v>
      </c>
      <c r="B641" t="s">
        <v>224</v>
      </c>
      <c r="C641" t="s">
        <v>107</v>
      </c>
      <c r="D641">
        <v>100000</v>
      </c>
      <c r="E641">
        <v>140381</v>
      </c>
      <c r="F641">
        <v>27</v>
      </c>
      <c r="G641">
        <v>2</v>
      </c>
      <c r="H641">
        <v>3</v>
      </c>
      <c r="I641" t="s">
        <v>93</v>
      </c>
    </row>
    <row r="642" spans="1:9">
      <c r="A642">
        <v>100641</v>
      </c>
      <c r="B642" t="s">
        <v>234</v>
      </c>
      <c r="C642" t="s">
        <v>95</v>
      </c>
      <c r="D642">
        <v>120000</v>
      </c>
      <c r="E642">
        <v>143709</v>
      </c>
      <c r="F642">
        <v>25</v>
      </c>
      <c r="G642">
        <v>2.6</v>
      </c>
      <c r="H642">
        <v>1</v>
      </c>
      <c r="I642" t="s">
        <v>93</v>
      </c>
    </row>
    <row r="643" spans="1:9">
      <c r="A643">
        <v>100642</v>
      </c>
      <c r="B643" t="s">
        <v>307</v>
      </c>
      <c r="C643" t="s">
        <v>92</v>
      </c>
      <c r="D643">
        <v>0</v>
      </c>
      <c r="E643">
        <v>146492</v>
      </c>
      <c r="F643">
        <v>16</v>
      </c>
      <c r="G643">
        <v>4.5</v>
      </c>
      <c r="H643">
        <v>7</v>
      </c>
      <c r="I643" t="s">
        <v>93</v>
      </c>
    </row>
    <row r="644" spans="1:9">
      <c r="A644">
        <v>100643</v>
      </c>
      <c r="B644" t="s">
        <v>306</v>
      </c>
      <c r="C644" t="s">
        <v>111</v>
      </c>
      <c r="D644">
        <v>150000</v>
      </c>
      <c r="E644">
        <v>103474</v>
      </c>
      <c r="F644">
        <v>28</v>
      </c>
      <c r="G644">
        <v>3.1</v>
      </c>
      <c r="H644">
        <v>15</v>
      </c>
      <c r="I644" t="s">
        <v>50</v>
      </c>
    </row>
    <row r="645" spans="1:9">
      <c r="A645">
        <v>100644</v>
      </c>
      <c r="B645" t="s">
        <v>265</v>
      </c>
      <c r="C645" t="s">
        <v>95</v>
      </c>
      <c r="D645">
        <v>50000</v>
      </c>
      <c r="E645">
        <v>120339</v>
      </c>
      <c r="F645">
        <v>30</v>
      </c>
      <c r="G645">
        <v>3.4</v>
      </c>
      <c r="H645">
        <v>15</v>
      </c>
      <c r="I645" t="s">
        <v>93</v>
      </c>
    </row>
    <row r="646" spans="1:9">
      <c r="A646">
        <v>100645</v>
      </c>
      <c r="B646" t="s">
        <v>279</v>
      </c>
      <c r="C646" t="s">
        <v>111</v>
      </c>
      <c r="D646">
        <v>120000</v>
      </c>
      <c r="E646">
        <v>68913</v>
      </c>
      <c r="F646">
        <v>29</v>
      </c>
      <c r="G646">
        <v>4.3</v>
      </c>
      <c r="H646">
        <v>13</v>
      </c>
      <c r="I646" t="s">
        <v>93</v>
      </c>
    </row>
    <row r="647" spans="1:9">
      <c r="A647">
        <v>100646</v>
      </c>
      <c r="B647" t="s">
        <v>162</v>
      </c>
      <c r="C647" t="s">
        <v>111</v>
      </c>
      <c r="D647">
        <v>75000</v>
      </c>
      <c r="E647">
        <v>39616</v>
      </c>
      <c r="F647">
        <v>25</v>
      </c>
      <c r="G647">
        <v>2.6</v>
      </c>
      <c r="H647">
        <v>15</v>
      </c>
      <c r="I647" t="s">
        <v>93</v>
      </c>
    </row>
    <row r="648" spans="1:9">
      <c r="A648">
        <v>100647</v>
      </c>
      <c r="B648" t="s">
        <v>302</v>
      </c>
      <c r="C648" t="s">
        <v>95</v>
      </c>
      <c r="D648">
        <v>100000</v>
      </c>
      <c r="E648">
        <v>102431</v>
      </c>
      <c r="F648">
        <v>16</v>
      </c>
      <c r="G648">
        <v>1.8</v>
      </c>
      <c r="H648">
        <v>3</v>
      </c>
      <c r="I648" t="s">
        <v>93</v>
      </c>
    </row>
    <row r="649" spans="1:9">
      <c r="A649">
        <v>100648</v>
      </c>
      <c r="B649" t="s">
        <v>190</v>
      </c>
      <c r="C649" t="s">
        <v>107</v>
      </c>
      <c r="D649">
        <v>0</v>
      </c>
      <c r="E649">
        <v>90907</v>
      </c>
      <c r="F649">
        <v>16</v>
      </c>
      <c r="G649">
        <v>4.9000000000000004</v>
      </c>
      <c r="H649">
        <v>13</v>
      </c>
      <c r="I649" t="s">
        <v>93</v>
      </c>
    </row>
    <row r="650" spans="1:9">
      <c r="A650">
        <v>100649</v>
      </c>
      <c r="B650" t="s">
        <v>169</v>
      </c>
      <c r="C650" t="s">
        <v>95</v>
      </c>
      <c r="D650">
        <v>75000</v>
      </c>
      <c r="E650">
        <v>64475</v>
      </c>
      <c r="F650">
        <v>22</v>
      </c>
      <c r="G650">
        <v>2.8</v>
      </c>
      <c r="H650">
        <v>14</v>
      </c>
      <c r="I650" t="s">
        <v>93</v>
      </c>
    </row>
    <row r="651" spans="1:9">
      <c r="A651">
        <v>100650</v>
      </c>
      <c r="B651" t="s">
        <v>189</v>
      </c>
      <c r="C651" t="s">
        <v>92</v>
      </c>
      <c r="D651">
        <v>50000</v>
      </c>
      <c r="E651">
        <v>169366</v>
      </c>
      <c r="F651">
        <v>23</v>
      </c>
      <c r="G651">
        <v>1.6</v>
      </c>
      <c r="H651">
        <v>7</v>
      </c>
      <c r="I651" t="s">
        <v>93</v>
      </c>
    </row>
    <row r="652" spans="1:9">
      <c r="A652">
        <v>100651</v>
      </c>
      <c r="B652" t="s">
        <v>196</v>
      </c>
      <c r="C652" t="s">
        <v>111</v>
      </c>
      <c r="D652">
        <v>120000</v>
      </c>
      <c r="E652">
        <v>49980</v>
      </c>
      <c r="F652">
        <v>15</v>
      </c>
      <c r="G652">
        <v>2.5</v>
      </c>
      <c r="H652">
        <v>13</v>
      </c>
      <c r="I652" t="s">
        <v>93</v>
      </c>
    </row>
    <row r="653" spans="1:9">
      <c r="A653">
        <v>100652</v>
      </c>
      <c r="B653" t="s">
        <v>211</v>
      </c>
      <c r="C653" t="s">
        <v>107</v>
      </c>
      <c r="D653">
        <v>0</v>
      </c>
      <c r="E653">
        <v>149743</v>
      </c>
      <c r="F653">
        <v>20</v>
      </c>
      <c r="G653">
        <v>3.3</v>
      </c>
      <c r="H653">
        <v>12</v>
      </c>
      <c r="I653" t="s">
        <v>93</v>
      </c>
    </row>
    <row r="654" spans="1:9">
      <c r="A654">
        <v>100653</v>
      </c>
      <c r="B654" t="s">
        <v>252</v>
      </c>
      <c r="C654" t="s">
        <v>95</v>
      </c>
      <c r="D654">
        <v>75000</v>
      </c>
      <c r="E654">
        <v>33475</v>
      </c>
      <c r="F654">
        <v>17</v>
      </c>
      <c r="G654">
        <v>2.6</v>
      </c>
      <c r="H654">
        <v>7</v>
      </c>
      <c r="I654" t="s">
        <v>93</v>
      </c>
    </row>
    <row r="655" spans="1:9">
      <c r="A655">
        <v>100654</v>
      </c>
      <c r="B655" t="s">
        <v>336</v>
      </c>
      <c r="C655" t="s">
        <v>111</v>
      </c>
      <c r="D655">
        <v>120000</v>
      </c>
      <c r="E655">
        <v>139680</v>
      </c>
      <c r="F655">
        <v>27</v>
      </c>
      <c r="G655">
        <v>2.2999999999999998</v>
      </c>
      <c r="H655">
        <v>2</v>
      </c>
      <c r="I655" t="s">
        <v>93</v>
      </c>
    </row>
    <row r="656" spans="1:9">
      <c r="A656">
        <v>100655</v>
      </c>
      <c r="B656" t="s">
        <v>317</v>
      </c>
      <c r="C656" t="s">
        <v>111</v>
      </c>
      <c r="D656">
        <v>75000</v>
      </c>
      <c r="E656">
        <v>106338</v>
      </c>
      <c r="F656">
        <v>27</v>
      </c>
      <c r="G656">
        <v>2.2000000000000002</v>
      </c>
      <c r="H656">
        <v>8</v>
      </c>
      <c r="I656" t="s">
        <v>50</v>
      </c>
    </row>
    <row r="657" spans="1:9">
      <c r="A657">
        <v>100656</v>
      </c>
      <c r="B657" t="s">
        <v>204</v>
      </c>
      <c r="C657" t="s">
        <v>95</v>
      </c>
      <c r="D657">
        <v>0</v>
      </c>
      <c r="E657">
        <v>78287</v>
      </c>
      <c r="F657">
        <v>17</v>
      </c>
      <c r="G657">
        <v>4.7</v>
      </c>
      <c r="H657">
        <v>15</v>
      </c>
      <c r="I657" t="s">
        <v>93</v>
      </c>
    </row>
    <row r="658" spans="1:9">
      <c r="A658">
        <v>100657</v>
      </c>
      <c r="B658" t="s">
        <v>169</v>
      </c>
      <c r="C658" t="s">
        <v>92</v>
      </c>
      <c r="D658">
        <v>150000</v>
      </c>
      <c r="E658">
        <v>129160</v>
      </c>
      <c r="F658">
        <v>16</v>
      </c>
      <c r="G658">
        <v>3.2</v>
      </c>
      <c r="H658">
        <v>11</v>
      </c>
      <c r="I658" t="s">
        <v>93</v>
      </c>
    </row>
    <row r="659" spans="1:9">
      <c r="A659">
        <v>100658</v>
      </c>
      <c r="B659" t="s">
        <v>128</v>
      </c>
      <c r="C659" t="s">
        <v>95</v>
      </c>
      <c r="D659">
        <v>0</v>
      </c>
      <c r="E659">
        <v>120269</v>
      </c>
      <c r="F659">
        <v>23</v>
      </c>
      <c r="G659">
        <v>3</v>
      </c>
      <c r="H659">
        <v>13</v>
      </c>
      <c r="I659" t="s">
        <v>93</v>
      </c>
    </row>
    <row r="660" spans="1:9">
      <c r="A660">
        <v>100659</v>
      </c>
      <c r="B660" t="s">
        <v>269</v>
      </c>
      <c r="C660" t="s">
        <v>95</v>
      </c>
      <c r="D660">
        <v>150000</v>
      </c>
      <c r="E660">
        <v>80270</v>
      </c>
      <c r="F660">
        <v>15</v>
      </c>
      <c r="G660">
        <v>3.2</v>
      </c>
      <c r="H660">
        <v>11</v>
      </c>
      <c r="I660" t="s">
        <v>93</v>
      </c>
    </row>
    <row r="661" spans="1:9">
      <c r="A661">
        <v>100660</v>
      </c>
      <c r="B661" t="s">
        <v>247</v>
      </c>
      <c r="C661" t="s">
        <v>111</v>
      </c>
      <c r="D661">
        <v>50000</v>
      </c>
      <c r="E661">
        <v>96431</v>
      </c>
      <c r="F661">
        <v>30</v>
      </c>
      <c r="G661">
        <v>4.0999999999999996</v>
      </c>
      <c r="H661">
        <v>10</v>
      </c>
      <c r="I661" t="s">
        <v>50</v>
      </c>
    </row>
    <row r="662" spans="1:9">
      <c r="A662">
        <v>100661</v>
      </c>
      <c r="B662" t="s">
        <v>317</v>
      </c>
      <c r="C662" t="s">
        <v>95</v>
      </c>
      <c r="D662">
        <v>100000</v>
      </c>
      <c r="E662">
        <v>97020</v>
      </c>
      <c r="F662">
        <v>15</v>
      </c>
      <c r="G662">
        <v>2.7</v>
      </c>
      <c r="H662">
        <v>3</v>
      </c>
      <c r="I662" t="s">
        <v>93</v>
      </c>
    </row>
    <row r="663" spans="1:9">
      <c r="A663">
        <v>100662</v>
      </c>
      <c r="B663" t="s">
        <v>283</v>
      </c>
      <c r="C663" t="s">
        <v>92</v>
      </c>
      <c r="D663">
        <v>150000</v>
      </c>
      <c r="E663">
        <v>63621</v>
      </c>
      <c r="F663">
        <v>24</v>
      </c>
      <c r="G663">
        <v>3.7</v>
      </c>
      <c r="H663">
        <v>6</v>
      </c>
      <c r="I663" t="s">
        <v>50</v>
      </c>
    </row>
    <row r="664" spans="1:9">
      <c r="A664">
        <v>100663</v>
      </c>
      <c r="B664" t="s">
        <v>123</v>
      </c>
      <c r="C664" t="s">
        <v>111</v>
      </c>
      <c r="D664">
        <v>0</v>
      </c>
      <c r="E664">
        <v>69964</v>
      </c>
      <c r="F664">
        <v>17</v>
      </c>
      <c r="G664">
        <v>2.4</v>
      </c>
      <c r="H664">
        <v>13</v>
      </c>
      <c r="I664" t="s">
        <v>93</v>
      </c>
    </row>
    <row r="665" spans="1:9">
      <c r="A665">
        <v>100664</v>
      </c>
      <c r="B665" t="s">
        <v>171</v>
      </c>
      <c r="C665" t="s">
        <v>92</v>
      </c>
      <c r="D665">
        <v>120000</v>
      </c>
      <c r="E665">
        <v>33437</v>
      </c>
      <c r="F665">
        <v>23</v>
      </c>
      <c r="G665">
        <v>2.4</v>
      </c>
      <c r="H665">
        <v>3</v>
      </c>
      <c r="I665" t="s">
        <v>93</v>
      </c>
    </row>
    <row r="666" spans="1:9">
      <c r="A666">
        <v>100665</v>
      </c>
      <c r="B666" t="s">
        <v>337</v>
      </c>
      <c r="C666" t="s">
        <v>111</v>
      </c>
      <c r="D666">
        <v>0</v>
      </c>
      <c r="E666">
        <v>136168</v>
      </c>
      <c r="F666">
        <v>25</v>
      </c>
      <c r="G666">
        <v>2</v>
      </c>
      <c r="H666">
        <v>9</v>
      </c>
      <c r="I666" t="s">
        <v>93</v>
      </c>
    </row>
    <row r="667" spans="1:9">
      <c r="A667">
        <v>100666</v>
      </c>
      <c r="B667" t="s">
        <v>331</v>
      </c>
      <c r="C667" t="s">
        <v>107</v>
      </c>
      <c r="D667">
        <v>50000</v>
      </c>
      <c r="E667">
        <v>142946</v>
      </c>
      <c r="F667">
        <v>18</v>
      </c>
      <c r="G667">
        <v>1.8</v>
      </c>
      <c r="H667">
        <v>10</v>
      </c>
      <c r="I667" t="s">
        <v>93</v>
      </c>
    </row>
    <row r="668" spans="1:9">
      <c r="A668">
        <v>100667</v>
      </c>
      <c r="B668" t="s">
        <v>248</v>
      </c>
      <c r="C668" t="s">
        <v>107</v>
      </c>
      <c r="D668">
        <v>75000</v>
      </c>
      <c r="E668">
        <v>174436</v>
      </c>
      <c r="F668">
        <v>19</v>
      </c>
      <c r="G668">
        <v>4.2</v>
      </c>
      <c r="H668">
        <v>12</v>
      </c>
      <c r="I668" t="s">
        <v>50</v>
      </c>
    </row>
    <row r="669" spans="1:9">
      <c r="A669">
        <v>100668</v>
      </c>
      <c r="B669" t="s">
        <v>160</v>
      </c>
      <c r="C669" t="s">
        <v>92</v>
      </c>
      <c r="D669">
        <v>50000</v>
      </c>
      <c r="E669">
        <v>146155</v>
      </c>
      <c r="F669">
        <v>29</v>
      </c>
      <c r="G669">
        <v>3.2</v>
      </c>
      <c r="H669">
        <v>13</v>
      </c>
      <c r="I669" t="s">
        <v>93</v>
      </c>
    </row>
    <row r="670" spans="1:9">
      <c r="A670">
        <v>100669</v>
      </c>
      <c r="B670" t="s">
        <v>103</v>
      </c>
      <c r="C670" t="s">
        <v>111</v>
      </c>
      <c r="D670">
        <v>0</v>
      </c>
      <c r="E670">
        <v>124618</v>
      </c>
      <c r="F670">
        <v>23</v>
      </c>
      <c r="G670">
        <v>4.7</v>
      </c>
      <c r="H670">
        <v>4</v>
      </c>
      <c r="I670" t="s">
        <v>93</v>
      </c>
    </row>
    <row r="671" spans="1:9">
      <c r="A671">
        <v>100670</v>
      </c>
      <c r="B671" t="s">
        <v>156</v>
      </c>
      <c r="C671" t="s">
        <v>111</v>
      </c>
      <c r="D671">
        <v>50000</v>
      </c>
      <c r="E671">
        <v>171159</v>
      </c>
      <c r="F671">
        <v>30</v>
      </c>
      <c r="G671">
        <v>2.2999999999999998</v>
      </c>
      <c r="H671">
        <v>2</v>
      </c>
      <c r="I671" t="s">
        <v>50</v>
      </c>
    </row>
    <row r="672" spans="1:9">
      <c r="A672">
        <v>100671</v>
      </c>
      <c r="B672" t="s">
        <v>151</v>
      </c>
      <c r="C672" t="s">
        <v>92</v>
      </c>
      <c r="D672">
        <v>100000</v>
      </c>
      <c r="E672">
        <v>36906</v>
      </c>
      <c r="F672">
        <v>20</v>
      </c>
      <c r="G672">
        <v>3.4</v>
      </c>
      <c r="H672">
        <v>11</v>
      </c>
      <c r="I672" t="s">
        <v>93</v>
      </c>
    </row>
    <row r="673" spans="1:9">
      <c r="A673">
        <v>100672</v>
      </c>
      <c r="B673" t="s">
        <v>108</v>
      </c>
      <c r="C673" t="s">
        <v>95</v>
      </c>
      <c r="D673">
        <v>100000</v>
      </c>
      <c r="E673">
        <v>146699</v>
      </c>
      <c r="F673">
        <v>24</v>
      </c>
      <c r="G673">
        <v>4</v>
      </c>
      <c r="H673">
        <v>12</v>
      </c>
      <c r="I673" t="s">
        <v>93</v>
      </c>
    </row>
    <row r="674" spans="1:9">
      <c r="A674">
        <v>100673</v>
      </c>
      <c r="B674" t="s">
        <v>184</v>
      </c>
      <c r="C674" t="s">
        <v>111</v>
      </c>
      <c r="D674">
        <v>150000</v>
      </c>
      <c r="E674">
        <v>74779</v>
      </c>
      <c r="F674">
        <v>21</v>
      </c>
      <c r="G674">
        <v>1.9</v>
      </c>
      <c r="H674">
        <v>7</v>
      </c>
      <c r="I674" t="s">
        <v>93</v>
      </c>
    </row>
    <row r="675" spans="1:9">
      <c r="A675">
        <v>100674</v>
      </c>
      <c r="B675" t="s">
        <v>252</v>
      </c>
      <c r="C675" t="s">
        <v>92</v>
      </c>
      <c r="D675">
        <v>150000</v>
      </c>
      <c r="E675">
        <v>130520</v>
      </c>
      <c r="F675">
        <v>29</v>
      </c>
      <c r="G675">
        <v>3.4</v>
      </c>
      <c r="H675">
        <v>14</v>
      </c>
      <c r="I675" t="s">
        <v>93</v>
      </c>
    </row>
    <row r="676" spans="1:9">
      <c r="A676">
        <v>100675</v>
      </c>
      <c r="B676" t="s">
        <v>279</v>
      </c>
      <c r="C676" t="s">
        <v>92</v>
      </c>
      <c r="D676">
        <v>120000</v>
      </c>
      <c r="E676">
        <v>41772</v>
      </c>
      <c r="F676">
        <v>30</v>
      </c>
      <c r="G676">
        <v>3.2</v>
      </c>
      <c r="H676">
        <v>9</v>
      </c>
      <c r="I676" t="s">
        <v>93</v>
      </c>
    </row>
    <row r="677" spans="1:9">
      <c r="A677">
        <v>100676</v>
      </c>
      <c r="B677" t="s">
        <v>174</v>
      </c>
      <c r="C677" t="s">
        <v>107</v>
      </c>
      <c r="D677">
        <v>100000</v>
      </c>
      <c r="E677">
        <v>90159</v>
      </c>
      <c r="F677">
        <v>23</v>
      </c>
      <c r="G677">
        <v>3.9</v>
      </c>
      <c r="H677">
        <v>2</v>
      </c>
      <c r="I677" t="s">
        <v>93</v>
      </c>
    </row>
    <row r="678" spans="1:9">
      <c r="A678">
        <v>100677</v>
      </c>
      <c r="B678" t="s">
        <v>317</v>
      </c>
      <c r="C678" t="s">
        <v>92</v>
      </c>
      <c r="D678">
        <v>0</v>
      </c>
      <c r="E678">
        <v>44751</v>
      </c>
      <c r="F678">
        <v>23</v>
      </c>
      <c r="G678">
        <v>4.8</v>
      </c>
      <c r="H678">
        <v>2</v>
      </c>
      <c r="I678" t="s">
        <v>93</v>
      </c>
    </row>
    <row r="679" spans="1:9">
      <c r="A679">
        <v>100678</v>
      </c>
      <c r="B679" t="s">
        <v>303</v>
      </c>
      <c r="C679" t="s">
        <v>107</v>
      </c>
      <c r="D679">
        <v>120000</v>
      </c>
      <c r="E679">
        <v>88095</v>
      </c>
      <c r="F679">
        <v>18</v>
      </c>
      <c r="G679">
        <v>3.8</v>
      </c>
      <c r="H679">
        <v>9</v>
      </c>
      <c r="I679" t="s">
        <v>93</v>
      </c>
    </row>
    <row r="680" spans="1:9">
      <c r="A680">
        <v>100679</v>
      </c>
      <c r="B680" t="s">
        <v>334</v>
      </c>
      <c r="C680" t="s">
        <v>107</v>
      </c>
      <c r="D680">
        <v>150000</v>
      </c>
      <c r="E680">
        <v>130419</v>
      </c>
      <c r="F680">
        <v>18</v>
      </c>
      <c r="G680">
        <v>3.4</v>
      </c>
      <c r="H680">
        <v>10</v>
      </c>
      <c r="I680" t="s">
        <v>93</v>
      </c>
    </row>
    <row r="681" spans="1:9">
      <c r="A681">
        <v>100680</v>
      </c>
      <c r="B681" t="s">
        <v>114</v>
      </c>
      <c r="C681" t="s">
        <v>107</v>
      </c>
      <c r="D681">
        <v>100000</v>
      </c>
      <c r="E681">
        <v>85349</v>
      </c>
      <c r="F681">
        <v>25</v>
      </c>
      <c r="G681">
        <v>3.7</v>
      </c>
      <c r="H681">
        <v>13</v>
      </c>
      <c r="I681" t="s">
        <v>93</v>
      </c>
    </row>
    <row r="682" spans="1:9">
      <c r="A682">
        <v>100681</v>
      </c>
      <c r="B682" t="s">
        <v>162</v>
      </c>
      <c r="C682" t="s">
        <v>111</v>
      </c>
      <c r="D682">
        <v>50000</v>
      </c>
      <c r="E682">
        <v>98154</v>
      </c>
      <c r="F682">
        <v>26</v>
      </c>
      <c r="G682">
        <v>3.8</v>
      </c>
      <c r="H682">
        <v>10</v>
      </c>
      <c r="I682" t="s">
        <v>93</v>
      </c>
    </row>
    <row r="683" spans="1:9">
      <c r="A683">
        <v>100682</v>
      </c>
      <c r="B683" t="s">
        <v>168</v>
      </c>
      <c r="C683" t="s">
        <v>92</v>
      </c>
      <c r="D683">
        <v>75000</v>
      </c>
      <c r="E683">
        <v>179562</v>
      </c>
      <c r="F683">
        <v>20</v>
      </c>
      <c r="G683">
        <v>4</v>
      </c>
      <c r="H683">
        <v>3</v>
      </c>
      <c r="I683" t="s">
        <v>93</v>
      </c>
    </row>
    <row r="684" spans="1:9">
      <c r="A684">
        <v>100683</v>
      </c>
      <c r="B684" t="s">
        <v>205</v>
      </c>
      <c r="C684" t="s">
        <v>92</v>
      </c>
      <c r="D684">
        <v>0</v>
      </c>
      <c r="E684">
        <v>112608</v>
      </c>
      <c r="F684">
        <v>15</v>
      </c>
      <c r="G684">
        <v>4.3</v>
      </c>
      <c r="H684">
        <v>9</v>
      </c>
      <c r="I684" t="s">
        <v>93</v>
      </c>
    </row>
    <row r="685" spans="1:9">
      <c r="A685">
        <v>100684</v>
      </c>
      <c r="B685" t="s">
        <v>323</v>
      </c>
      <c r="C685" t="s">
        <v>107</v>
      </c>
      <c r="D685">
        <v>0</v>
      </c>
      <c r="E685">
        <v>66730</v>
      </c>
      <c r="F685">
        <v>15</v>
      </c>
      <c r="G685">
        <v>2</v>
      </c>
      <c r="H685">
        <v>15</v>
      </c>
      <c r="I685" t="s">
        <v>93</v>
      </c>
    </row>
    <row r="686" spans="1:9">
      <c r="A686">
        <v>100685</v>
      </c>
      <c r="B686" t="s">
        <v>185</v>
      </c>
      <c r="C686" t="s">
        <v>111</v>
      </c>
      <c r="D686">
        <v>100000</v>
      </c>
      <c r="E686">
        <v>136941</v>
      </c>
      <c r="F686">
        <v>21</v>
      </c>
      <c r="G686">
        <v>4.8</v>
      </c>
      <c r="H686">
        <v>0</v>
      </c>
      <c r="I686" t="s">
        <v>50</v>
      </c>
    </row>
    <row r="687" spans="1:9">
      <c r="A687">
        <v>100686</v>
      </c>
      <c r="B687" t="s">
        <v>136</v>
      </c>
      <c r="C687" t="s">
        <v>92</v>
      </c>
      <c r="D687">
        <v>150000</v>
      </c>
      <c r="E687">
        <v>65049</v>
      </c>
      <c r="F687">
        <v>28</v>
      </c>
      <c r="G687">
        <v>1.7</v>
      </c>
      <c r="H687">
        <v>15</v>
      </c>
      <c r="I687" t="s">
        <v>93</v>
      </c>
    </row>
    <row r="688" spans="1:9">
      <c r="A688">
        <v>100687</v>
      </c>
      <c r="B688" t="s">
        <v>168</v>
      </c>
      <c r="C688" t="s">
        <v>111</v>
      </c>
      <c r="D688">
        <v>50000</v>
      </c>
      <c r="E688">
        <v>119742</v>
      </c>
      <c r="F688">
        <v>19</v>
      </c>
      <c r="G688">
        <v>4.5999999999999996</v>
      </c>
      <c r="H688">
        <v>6</v>
      </c>
      <c r="I688" t="s">
        <v>93</v>
      </c>
    </row>
    <row r="689" spans="1:9">
      <c r="A689">
        <v>100688</v>
      </c>
      <c r="B689" t="s">
        <v>288</v>
      </c>
      <c r="C689" t="s">
        <v>107</v>
      </c>
      <c r="D689">
        <v>75000</v>
      </c>
      <c r="E689">
        <v>90008</v>
      </c>
      <c r="F689">
        <v>19</v>
      </c>
      <c r="G689">
        <v>2.7</v>
      </c>
      <c r="H689">
        <v>13</v>
      </c>
      <c r="I689" t="s">
        <v>93</v>
      </c>
    </row>
    <row r="690" spans="1:9">
      <c r="A690">
        <v>100689</v>
      </c>
      <c r="B690" t="s">
        <v>114</v>
      </c>
      <c r="C690" t="s">
        <v>107</v>
      </c>
      <c r="D690">
        <v>100000</v>
      </c>
      <c r="E690">
        <v>71020</v>
      </c>
      <c r="F690">
        <v>18</v>
      </c>
      <c r="G690">
        <v>4.8</v>
      </c>
      <c r="H690">
        <v>6</v>
      </c>
      <c r="I690" t="s">
        <v>93</v>
      </c>
    </row>
    <row r="691" spans="1:9">
      <c r="A691">
        <v>100690</v>
      </c>
      <c r="B691" t="s">
        <v>186</v>
      </c>
      <c r="C691" t="s">
        <v>95</v>
      </c>
      <c r="D691">
        <v>50000</v>
      </c>
      <c r="E691">
        <v>162142</v>
      </c>
      <c r="F691">
        <v>30</v>
      </c>
      <c r="G691">
        <v>4.2</v>
      </c>
      <c r="H691">
        <v>11</v>
      </c>
      <c r="I691" t="s">
        <v>93</v>
      </c>
    </row>
    <row r="692" spans="1:9">
      <c r="A692">
        <v>100691</v>
      </c>
      <c r="B692" t="s">
        <v>230</v>
      </c>
      <c r="C692" t="s">
        <v>92</v>
      </c>
      <c r="D692">
        <v>150000</v>
      </c>
      <c r="E692">
        <v>37183</v>
      </c>
      <c r="F692">
        <v>21</v>
      </c>
      <c r="G692">
        <v>3.2</v>
      </c>
      <c r="H692">
        <v>6</v>
      </c>
      <c r="I692" t="s">
        <v>93</v>
      </c>
    </row>
    <row r="693" spans="1:9">
      <c r="A693">
        <v>100692</v>
      </c>
      <c r="B693" t="s">
        <v>326</v>
      </c>
      <c r="C693" t="s">
        <v>107</v>
      </c>
      <c r="D693">
        <v>120000</v>
      </c>
      <c r="E693">
        <v>62831</v>
      </c>
      <c r="F693">
        <v>26</v>
      </c>
      <c r="G693">
        <v>4.9000000000000004</v>
      </c>
      <c r="H693">
        <v>7</v>
      </c>
      <c r="I693" t="s">
        <v>93</v>
      </c>
    </row>
    <row r="694" spans="1:9">
      <c r="A694">
        <v>100693</v>
      </c>
      <c r="B694" t="s">
        <v>264</v>
      </c>
      <c r="C694" t="s">
        <v>107</v>
      </c>
      <c r="D694">
        <v>75000</v>
      </c>
      <c r="E694">
        <v>179991</v>
      </c>
      <c r="F694">
        <v>26</v>
      </c>
      <c r="G694">
        <v>3.5</v>
      </c>
      <c r="H694">
        <v>8</v>
      </c>
      <c r="I694" t="s">
        <v>93</v>
      </c>
    </row>
    <row r="695" spans="1:9">
      <c r="A695">
        <v>100694</v>
      </c>
      <c r="B695" t="s">
        <v>337</v>
      </c>
      <c r="C695" t="s">
        <v>111</v>
      </c>
      <c r="D695">
        <v>50000</v>
      </c>
      <c r="E695">
        <v>152541</v>
      </c>
      <c r="F695">
        <v>20</v>
      </c>
      <c r="G695">
        <v>4.9000000000000004</v>
      </c>
      <c r="H695">
        <v>8</v>
      </c>
      <c r="I695" t="s">
        <v>50</v>
      </c>
    </row>
    <row r="696" spans="1:9">
      <c r="A696">
        <v>100695</v>
      </c>
      <c r="B696" t="s">
        <v>97</v>
      </c>
      <c r="C696" t="s">
        <v>95</v>
      </c>
      <c r="D696">
        <v>50000</v>
      </c>
      <c r="E696">
        <v>92511</v>
      </c>
      <c r="F696">
        <v>15</v>
      </c>
      <c r="G696">
        <v>1.7</v>
      </c>
      <c r="H696">
        <v>12</v>
      </c>
      <c r="I696" t="s">
        <v>93</v>
      </c>
    </row>
    <row r="697" spans="1:9">
      <c r="A697">
        <v>100696</v>
      </c>
      <c r="B697" t="s">
        <v>284</v>
      </c>
      <c r="C697" t="s">
        <v>92</v>
      </c>
      <c r="D697">
        <v>50000</v>
      </c>
      <c r="E697">
        <v>145464</v>
      </c>
      <c r="F697">
        <v>21</v>
      </c>
      <c r="G697">
        <v>2.4</v>
      </c>
      <c r="H697">
        <v>12</v>
      </c>
      <c r="I697" t="s">
        <v>93</v>
      </c>
    </row>
    <row r="698" spans="1:9">
      <c r="A698">
        <v>100697</v>
      </c>
      <c r="B698" t="s">
        <v>106</v>
      </c>
      <c r="C698" t="s">
        <v>92</v>
      </c>
      <c r="D698">
        <v>0</v>
      </c>
      <c r="E698">
        <v>67279</v>
      </c>
      <c r="F698">
        <v>25</v>
      </c>
      <c r="G698">
        <v>3.9</v>
      </c>
      <c r="H698">
        <v>3</v>
      </c>
      <c r="I698" t="s">
        <v>93</v>
      </c>
    </row>
    <row r="699" spans="1:9">
      <c r="A699">
        <v>100698</v>
      </c>
      <c r="B699" t="s">
        <v>194</v>
      </c>
      <c r="C699" t="s">
        <v>95</v>
      </c>
      <c r="D699">
        <v>120000</v>
      </c>
      <c r="E699">
        <v>103660</v>
      </c>
      <c r="F699">
        <v>22</v>
      </c>
      <c r="G699">
        <v>2.7</v>
      </c>
      <c r="H699">
        <v>14</v>
      </c>
      <c r="I699" t="s">
        <v>93</v>
      </c>
    </row>
    <row r="700" spans="1:9">
      <c r="A700">
        <v>100699</v>
      </c>
      <c r="B700" t="s">
        <v>167</v>
      </c>
      <c r="C700" t="s">
        <v>107</v>
      </c>
      <c r="D700">
        <v>100000</v>
      </c>
      <c r="E700">
        <v>64533</v>
      </c>
      <c r="F700">
        <v>19</v>
      </c>
      <c r="G700">
        <v>3.8</v>
      </c>
      <c r="H700">
        <v>0</v>
      </c>
      <c r="I700" t="s">
        <v>93</v>
      </c>
    </row>
    <row r="701" spans="1:9">
      <c r="A701">
        <v>100700</v>
      </c>
      <c r="B701" t="s">
        <v>150</v>
      </c>
      <c r="C701" t="s">
        <v>95</v>
      </c>
      <c r="D701">
        <v>120000</v>
      </c>
      <c r="E701">
        <v>108810</v>
      </c>
      <c r="F701">
        <v>26</v>
      </c>
      <c r="G701">
        <v>2.7</v>
      </c>
      <c r="H701">
        <v>14</v>
      </c>
      <c r="I701" t="s">
        <v>50</v>
      </c>
    </row>
    <row r="702" spans="1:9">
      <c r="A702">
        <v>100701</v>
      </c>
      <c r="B702" t="s">
        <v>246</v>
      </c>
      <c r="C702" t="s">
        <v>92</v>
      </c>
      <c r="D702">
        <v>75000</v>
      </c>
      <c r="E702">
        <v>101956</v>
      </c>
      <c r="F702">
        <v>20</v>
      </c>
      <c r="G702">
        <v>4.3</v>
      </c>
      <c r="H702">
        <v>12</v>
      </c>
      <c r="I702" t="s">
        <v>93</v>
      </c>
    </row>
    <row r="703" spans="1:9">
      <c r="A703">
        <v>100702</v>
      </c>
      <c r="B703" t="s">
        <v>249</v>
      </c>
      <c r="C703" t="s">
        <v>107</v>
      </c>
      <c r="D703">
        <v>0</v>
      </c>
      <c r="E703">
        <v>162322</v>
      </c>
      <c r="F703">
        <v>29</v>
      </c>
      <c r="G703">
        <v>2.4</v>
      </c>
      <c r="H703">
        <v>15</v>
      </c>
      <c r="I703" t="s">
        <v>93</v>
      </c>
    </row>
    <row r="704" spans="1:9">
      <c r="A704">
        <v>100703</v>
      </c>
      <c r="B704" t="s">
        <v>252</v>
      </c>
      <c r="C704" t="s">
        <v>92</v>
      </c>
      <c r="D704">
        <v>50000</v>
      </c>
      <c r="E704">
        <v>92773</v>
      </c>
      <c r="F704">
        <v>30</v>
      </c>
      <c r="G704">
        <v>4.0999999999999996</v>
      </c>
      <c r="H704">
        <v>11</v>
      </c>
      <c r="I704" t="s">
        <v>93</v>
      </c>
    </row>
    <row r="705" spans="1:9">
      <c r="A705">
        <v>100704</v>
      </c>
      <c r="B705" t="s">
        <v>150</v>
      </c>
      <c r="C705" t="s">
        <v>107</v>
      </c>
      <c r="D705">
        <v>75000</v>
      </c>
      <c r="E705">
        <v>36570</v>
      </c>
      <c r="F705">
        <v>25</v>
      </c>
      <c r="G705">
        <v>3</v>
      </c>
      <c r="H705">
        <v>2</v>
      </c>
      <c r="I705" t="s">
        <v>93</v>
      </c>
    </row>
    <row r="706" spans="1:9">
      <c r="A706">
        <v>100705</v>
      </c>
      <c r="B706" t="s">
        <v>213</v>
      </c>
      <c r="C706" t="s">
        <v>92</v>
      </c>
      <c r="D706">
        <v>75000</v>
      </c>
      <c r="E706">
        <v>148275</v>
      </c>
      <c r="F706">
        <v>17</v>
      </c>
      <c r="G706">
        <v>1.6</v>
      </c>
      <c r="H706">
        <v>0</v>
      </c>
      <c r="I706" t="s">
        <v>93</v>
      </c>
    </row>
    <row r="707" spans="1:9">
      <c r="A707">
        <v>100706</v>
      </c>
      <c r="B707" t="s">
        <v>338</v>
      </c>
      <c r="C707" t="s">
        <v>95</v>
      </c>
      <c r="D707">
        <v>75000</v>
      </c>
      <c r="E707">
        <v>82976</v>
      </c>
      <c r="F707">
        <v>25</v>
      </c>
      <c r="G707">
        <v>4.2</v>
      </c>
      <c r="H707">
        <v>7</v>
      </c>
      <c r="I707" t="s">
        <v>93</v>
      </c>
    </row>
    <row r="708" spans="1:9">
      <c r="A708">
        <v>100707</v>
      </c>
      <c r="B708" t="s">
        <v>339</v>
      </c>
      <c r="C708" t="s">
        <v>92</v>
      </c>
      <c r="D708">
        <v>100000</v>
      </c>
      <c r="E708">
        <v>103532</v>
      </c>
      <c r="F708">
        <v>20</v>
      </c>
      <c r="G708">
        <v>2</v>
      </c>
      <c r="H708">
        <v>14</v>
      </c>
      <c r="I708" t="s">
        <v>93</v>
      </c>
    </row>
    <row r="709" spans="1:9">
      <c r="A709">
        <v>100708</v>
      </c>
      <c r="B709" t="s">
        <v>340</v>
      </c>
      <c r="C709" t="s">
        <v>107</v>
      </c>
      <c r="D709">
        <v>100000</v>
      </c>
      <c r="E709">
        <v>65671</v>
      </c>
      <c r="F709">
        <v>19</v>
      </c>
      <c r="G709">
        <v>2.7</v>
      </c>
      <c r="H709">
        <v>9</v>
      </c>
      <c r="I709" t="s">
        <v>93</v>
      </c>
    </row>
    <row r="710" spans="1:9">
      <c r="A710">
        <v>100709</v>
      </c>
      <c r="B710" t="s">
        <v>317</v>
      </c>
      <c r="C710" t="s">
        <v>95</v>
      </c>
      <c r="D710">
        <v>100000</v>
      </c>
      <c r="E710">
        <v>88412</v>
      </c>
      <c r="F710">
        <v>17</v>
      </c>
      <c r="G710">
        <v>4.0999999999999996</v>
      </c>
      <c r="H710">
        <v>2</v>
      </c>
      <c r="I710" t="s">
        <v>93</v>
      </c>
    </row>
    <row r="711" spans="1:9">
      <c r="A711">
        <v>100710</v>
      </c>
      <c r="B711" t="s">
        <v>257</v>
      </c>
      <c r="C711" t="s">
        <v>107</v>
      </c>
      <c r="D711">
        <v>150000</v>
      </c>
      <c r="E711">
        <v>85823</v>
      </c>
      <c r="F711">
        <v>24</v>
      </c>
      <c r="G711">
        <v>2.2000000000000002</v>
      </c>
      <c r="H711">
        <v>0</v>
      </c>
      <c r="I711" t="s">
        <v>93</v>
      </c>
    </row>
    <row r="712" spans="1:9">
      <c r="A712">
        <v>100711</v>
      </c>
      <c r="B712" t="s">
        <v>341</v>
      </c>
      <c r="C712" t="s">
        <v>107</v>
      </c>
      <c r="D712">
        <v>0</v>
      </c>
      <c r="E712">
        <v>160724</v>
      </c>
      <c r="F712">
        <v>15</v>
      </c>
      <c r="G712">
        <v>3.1</v>
      </c>
      <c r="H712">
        <v>6</v>
      </c>
      <c r="I712" t="s">
        <v>50</v>
      </c>
    </row>
    <row r="713" spans="1:9">
      <c r="A713">
        <v>100712</v>
      </c>
      <c r="B713" t="s">
        <v>159</v>
      </c>
      <c r="C713" t="s">
        <v>92</v>
      </c>
      <c r="D713">
        <v>75000</v>
      </c>
      <c r="E713">
        <v>38745</v>
      </c>
      <c r="F713">
        <v>23</v>
      </c>
      <c r="G713">
        <v>3.7</v>
      </c>
      <c r="H713">
        <v>0</v>
      </c>
      <c r="I713" t="s">
        <v>93</v>
      </c>
    </row>
    <row r="714" spans="1:9">
      <c r="A714">
        <v>100713</v>
      </c>
      <c r="B714" t="s">
        <v>144</v>
      </c>
      <c r="C714" t="s">
        <v>111</v>
      </c>
      <c r="D714">
        <v>0</v>
      </c>
      <c r="E714">
        <v>130157</v>
      </c>
      <c r="F714">
        <v>22</v>
      </c>
      <c r="G714">
        <v>1.5</v>
      </c>
      <c r="H714">
        <v>1</v>
      </c>
      <c r="I714" t="s">
        <v>93</v>
      </c>
    </row>
    <row r="715" spans="1:9">
      <c r="A715">
        <v>100714</v>
      </c>
      <c r="B715" t="s">
        <v>197</v>
      </c>
      <c r="C715" t="s">
        <v>95</v>
      </c>
      <c r="D715">
        <v>50000</v>
      </c>
      <c r="E715">
        <v>106200</v>
      </c>
      <c r="F715">
        <v>28</v>
      </c>
      <c r="G715">
        <v>3.5</v>
      </c>
      <c r="H715">
        <v>15</v>
      </c>
      <c r="I715" t="s">
        <v>93</v>
      </c>
    </row>
    <row r="716" spans="1:9">
      <c r="A716">
        <v>100715</v>
      </c>
      <c r="B716" t="s">
        <v>100</v>
      </c>
      <c r="C716" t="s">
        <v>95</v>
      </c>
      <c r="D716">
        <v>0</v>
      </c>
      <c r="E716">
        <v>160080</v>
      </c>
      <c r="F716">
        <v>15</v>
      </c>
      <c r="G716">
        <v>2.4</v>
      </c>
      <c r="H716">
        <v>4</v>
      </c>
      <c r="I716" t="s">
        <v>93</v>
      </c>
    </row>
    <row r="717" spans="1:9">
      <c r="A717">
        <v>100716</v>
      </c>
      <c r="B717" t="s">
        <v>163</v>
      </c>
      <c r="C717" t="s">
        <v>107</v>
      </c>
      <c r="D717">
        <v>150000</v>
      </c>
      <c r="E717">
        <v>74897</v>
      </c>
      <c r="F717">
        <v>17</v>
      </c>
      <c r="G717">
        <v>4.0999999999999996</v>
      </c>
      <c r="H717">
        <v>1</v>
      </c>
      <c r="I717" t="s">
        <v>93</v>
      </c>
    </row>
    <row r="718" spans="1:9">
      <c r="A718">
        <v>100717</v>
      </c>
      <c r="B718" t="s">
        <v>277</v>
      </c>
      <c r="C718" t="s">
        <v>107</v>
      </c>
      <c r="D718">
        <v>150000</v>
      </c>
      <c r="E718">
        <v>152974</v>
      </c>
      <c r="F718">
        <v>27</v>
      </c>
      <c r="G718">
        <v>3</v>
      </c>
      <c r="H718">
        <v>4</v>
      </c>
      <c r="I718" t="s">
        <v>93</v>
      </c>
    </row>
    <row r="719" spans="1:9">
      <c r="A719">
        <v>100718</v>
      </c>
      <c r="B719" t="s">
        <v>265</v>
      </c>
      <c r="C719" t="s">
        <v>95</v>
      </c>
      <c r="D719">
        <v>100000</v>
      </c>
      <c r="E719">
        <v>55082</v>
      </c>
      <c r="F719">
        <v>19</v>
      </c>
      <c r="G719">
        <v>4.4000000000000004</v>
      </c>
      <c r="H719">
        <v>4</v>
      </c>
      <c r="I719" t="s">
        <v>50</v>
      </c>
    </row>
    <row r="720" spans="1:9">
      <c r="A720">
        <v>100719</v>
      </c>
      <c r="B720" t="s">
        <v>299</v>
      </c>
      <c r="C720" t="s">
        <v>111</v>
      </c>
      <c r="D720">
        <v>50000</v>
      </c>
      <c r="E720">
        <v>67878</v>
      </c>
      <c r="F720">
        <v>16</v>
      </c>
      <c r="G720">
        <v>4.9000000000000004</v>
      </c>
      <c r="H720">
        <v>2</v>
      </c>
      <c r="I720" t="s">
        <v>93</v>
      </c>
    </row>
    <row r="721" spans="1:9">
      <c r="A721">
        <v>100720</v>
      </c>
      <c r="B721" t="s">
        <v>273</v>
      </c>
      <c r="C721" t="s">
        <v>111</v>
      </c>
      <c r="D721">
        <v>100000</v>
      </c>
      <c r="E721">
        <v>116140</v>
      </c>
      <c r="F721">
        <v>20</v>
      </c>
      <c r="G721">
        <v>4.8</v>
      </c>
      <c r="H721">
        <v>7</v>
      </c>
      <c r="I721" t="s">
        <v>93</v>
      </c>
    </row>
    <row r="722" spans="1:9">
      <c r="A722">
        <v>100721</v>
      </c>
      <c r="B722" t="s">
        <v>314</v>
      </c>
      <c r="C722" t="s">
        <v>92</v>
      </c>
      <c r="D722">
        <v>50000</v>
      </c>
      <c r="E722">
        <v>147830</v>
      </c>
      <c r="F722">
        <v>24</v>
      </c>
      <c r="G722">
        <v>2.2999999999999998</v>
      </c>
      <c r="H722">
        <v>4</v>
      </c>
      <c r="I722" t="s">
        <v>93</v>
      </c>
    </row>
    <row r="723" spans="1:9">
      <c r="A723">
        <v>100722</v>
      </c>
      <c r="B723" t="s">
        <v>267</v>
      </c>
      <c r="C723" t="s">
        <v>107</v>
      </c>
      <c r="D723">
        <v>100000</v>
      </c>
      <c r="E723">
        <v>93587</v>
      </c>
      <c r="F723">
        <v>19</v>
      </c>
      <c r="G723">
        <v>1.7</v>
      </c>
      <c r="H723">
        <v>13</v>
      </c>
      <c r="I723" t="s">
        <v>93</v>
      </c>
    </row>
    <row r="724" spans="1:9">
      <c r="A724">
        <v>100723</v>
      </c>
      <c r="B724" t="s">
        <v>282</v>
      </c>
      <c r="C724" t="s">
        <v>107</v>
      </c>
      <c r="D724">
        <v>100000</v>
      </c>
      <c r="E724">
        <v>89638</v>
      </c>
      <c r="F724">
        <v>17</v>
      </c>
      <c r="G724">
        <v>5</v>
      </c>
      <c r="H724">
        <v>8</v>
      </c>
      <c r="I724" t="s">
        <v>93</v>
      </c>
    </row>
    <row r="725" spans="1:9">
      <c r="A725">
        <v>100724</v>
      </c>
      <c r="B725" t="s">
        <v>262</v>
      </c>
      <c r="C725" t="s">
        <v>107</v>
      </c>
      <c r="D725">
        <v>150000</v>
      </c>
      <c r="E725">
        <v>56189</v>
      </c>
      <c r="F725">
        <v>27</v>
      </c>
      <c r="G725">
        <v>4.9000000000000004</v>
      </c>
      <c r="H725">
        <v>14</v>
      </c>
      <c r="I725" t="s">
        <v>93</v>
      </c>
    </row>
    <row r="726" spans="1:9">
      <c r="A726">
        <v>100725</v>
      </c>
      <c r="B726" t="s">
        <v>131</v>
      </c>
      <c r="C726" t="s">
        <v>111</v>
      </c>
      <c r="D726">
        <v>50000</v>
      </c>
      <c r="E726">
        <v>161095</v>
      </c>
      <c r="F726">
        <v>30</v>
      </c>
      <c r="G726">
        <v>3.1</v>
      </c>
      <c r="H726">
        <v>13</v>
      </c>
      <c r="I726" t="s">
        <v>93</v>
      </c>
    </row>
    <row r="727" spans="1:9">
      <c r="A727">
        <v>100726</v>
      </c>
      <c r="B727" t="s">
        <v>310</v>
      </c>
      <c r="C727" t="s">
        <v>92</v>
      </c>
      <c r="D727">
        <v>150000</v>
      </c>
      <c r="E727">
        <v>51447</v>
      </c>
      <c r="F727">
        <v>15</v>
      </c>
      <c r="G727">
        <v>3.8</v>
      </c>
      <c r="H727">
        <v>12</v>
      </c>
      <c r="I727" t="s">
        <v>50</v>
      </c>
    </row>
    <row r="728" spans="1:9">
      <c r="A728">
        <v>100727</v>
      </c>
      <c r="B728" t="s">
        <v>165</v>
      </c>
      <c r="C728" t="s">
        <v>111</v>
      </c>
      <c r="D728">
        <v>150000</v>
      </c>
      <c r="E728">
        <v>30540</v>
      </c>
      <c r="F728">
        <v>29</v>
      </c>
      <c r="G728">
        <v>1.8</v>
      </c>
      <c r="H728">
        <v>10</v>
      </c>
      <c r="I728" t="s">
        <v>93</v>
      </c>
    </row>
    <row r="729" spans="1:9">
      <c r="A729">
        <v>100728</v>
      </c>
      <c r="B729" t="s">
        <v>232</v>
      </c>
      <c r="C729" t="s">
        <v>111</v>
      </c>
      <c r="D729">
        <v>150000</v>
      </c>
      <c r="E729">
        <v>91589</v>
      </c>
      <c r="F729">
        <v>30</v>
      </c>
      <c r="G729">
        <v>2.2999999999999998</v>
      </c>
      <c r="H729">
        <v>7</v>
      </c>
      <c r="I729" t="s">
        <v>50</v>
      </c>
    </row>
    <row r="730" spans="1:9">
      <c r="A730">
        <v>100729</v>
      </c>
      <c r="B730" t="s">
        <v>94</v>
      </c>
      <c r="C730" t="s">
        <v>92</v>
      </c>
      <c r="D730">
        <v>0</v>
      </c>
      <c r="E730">
        <v>143270</v>
      </c>
      <c r="F730">
        <v>17</v>
      </c>
      <c r="G730">
        <v>1.9</v>
      </c>
      <c r="H730">
        <v>14</v>
      </c>
      <c r="I730" t="s">
        <v>93</v>
      </c>
    </row>
    <row r="731" spans="1:9">
      <c r="A731">
        <v>100730</v>
      </c>
      <c r="B731" t="s">
        <v>204</v>
      </c>
      <c r="C731" t="s">
        <v>107</v>
      </c>
      <c r="D731">
        <v>50000</v>
      </c>
      <c r="E731">
        <v>80632</v>
      </c>
      <c r="F731">
        <v>19</v>
      </c>
      <c r="G731">
        <v>1.5</v>
      </c>
      <c r="H731">
        <v>9</v>
      </c>
      <c r="I731" t="s">
        <v>93</v>
      </c>
    </row>
    <row r="732" spans="1:9">
      <c r="A732">
        <v>100731</v>
      </c>
      <c r="B732" t="s">
        <v>261</v>
      </c>
      <c r="C732" t="s">
        <v>111</v>
      </c>
      <c r="D732">
        <v>50000</v>
      </c>
      <c r="E732">
        <v>126327</v>
      </c>
      <c r="F732">
        <v>17</v>
      </c>
      <c r="G732">
        <v>4.2</v>
      </c>
      <c r="H732">
        <v>14</v>
      </c>
      <c r="I732" t="s">
        <v>50</v>
      </c>
    </row>
    <row r="733" spans="1:9">
      <c r="A733">
        <v>100732</v>
      </c>
      <c r="B733" t="s">
        <v>342</v>
      </c>
      <c r="C733" t="s">
        <v>111</v>
      </c>
      <c r="D733">
        <v>120000</v>
      </c>
      <c r="E733">
        <v>79295</v>
      </c>
      <c r="F733">
        <v>24</v>
      </c>
      <c r="G733">
        <v>2.2999999999999998</v>
      </c>
      <c r="H733">
        <v>0</v>
      </c>
      <c r="I733" t="s">
        <v>93</v>
      </c>
    </row>
    <row r="734" spans="1:9">
      <c r="A734">
        <v>100733</v>
      </c>
      <c r="B734" t="s">
        <v>261</v>
      </c>
      <c r="C734" t="s">
        <v>107</v>
      </c>
      <c r="D734">
        <v>150000</v>
      </c>
      <c r="E734">
        <v>46938</v>
      </c>
      <c r="F734">
        <v>21</v>
      </c>
      <c r="G734">
        <v>4.8</v>
      </c>
      <c r="H734">
        <v>14</v>
      </c>
      <c r="I734" t="s">
        <v>93</v>
      </c>
    </row>
    <row r="735" spans="1:9">
      <c r="A735">
        <v>100734</v>
      </c>
      <c r="B735" t="s">
        <v>305</v>
      </c>
      <c r="C735" t="s">
        <v>95</v>
      </c>
      <c r="D735">
        <v>100000</v>
      </c>
      <c r="E735">
        <v>166972</v>
      </c>
      <c r="F735">
        <v>20</v>
      </c>
      <c r="G735">
        <v>3.9</v>
      </c>
      <c r="H735">
        <v>9</v>
      </c>
      <c r="I735" t="s">
        <v>93</v>
      </c>
    </row>
    <row r="736" spans="1:9">
      <c r="A736">
        <v>100735</v>
      </c>
      <c r="B736" t="s">
        <v>173</v>
      </c>
      <c r="C736" t="s">
        <v>107</v>
      </c>
      <c r="D736">
        <v>100000</v>
      </c>
      <c r="E736">
        <v>98986</v>
      </c>
      <c r="F736">
        <v>27</v>
      </c>
      <c r="G736">
        <v>2.9</v>
      </c>
      <c r="H736">
        <v>5</v>
      </c>
      <c r="I736" t="s">
        <v>93</v>
      </c>
    </row>
    <row r="737" spans="1:9">
      <c r="A737">
        <v>100736</v>
      </c>
      <c r="B737" t="s">
        <v>220</v>
      </c>
      <c r="C737" t="s">
        <v>95</v>
      </c>
      <c r="D737">
        <v>120000</v>
      </c>
      <c r="E737">
        <v>40510</v>
      </c>
      <c r="F737">
        <v>24</v>
      </c>
      <c r="G737">
        <v>2.1</v>
      </c>
      <c r="H737">
        <v>5</v>
      </c>
      <c r="I737" t="s">
        <v>50</v>
      </c>
    </row>
    <row r="738" spans="1:9">
      <c r="A738">
        <v>100737</v>
      </c>
      <c r="B738" t="s">
        <v>171</v>
      </c>
      <c r="C738" t="s">
        <v>95</v>
      </c>
      <c r="D738">
        <v>50000</v>
      </c>
      <c r="E738">
        <v>60517</v>
      </c>
      <c r="F738">
        <v>27</v>
      </c>
      <c r="G738">
        <v>2.4</v>
      </c>
      <c r="H738">
        <v>4</v>
      </c>
      <c r="I738" t="s">
        <v>93</v>
      </c>
    </row>
    <row r="739" spans="1:9">
      <c r="A739">
        <v>100738</v>
      </c>
      <c r="B739" t="s">
        <v>318</v>
      </c>
      <c r="C739" t="s">
        <v>107</v>
      </c>
      <c r="D739">
        <v>120000</v>
      </c>
      <c r="E739">
        <v>99402</v>
      </c>
      <c r="F739">
        <v>22</v>
      </c>
      <c r="G739">
        <v>4.9000000000000004</v>
      </c>
      <c r="H739">
        <v>12</v>
      </c>
      <c r="I739" t="s">
        <v>93</v>
      </c>
    </row>
    <row r="740" spans="1:9">
      <c r="A740">
        <v>100739</v>
      </c>
      <c r="B740" t="s">
        <v>135</v>
      </c>
      <c r="C740" t="s">
        <v>107</v>
      </c>
      <c r="D740">
        <v>150000</v>
      </c>
      <c r="E740">
        <v>52612</v>
      </c>
      <c r="F740">
        <v>30</v>
      </c>
      <c r="G740">
        <v>3.4</v>
      </c>
      <c r="H740">
        <v>7</v>
      </c>
      <c r="I740" t="s">
        <v>93</v>
      </c>
    </row>
    <row r="741" spans="1:9">
      <c r="A741">
        <v>100740</v>
      </c>
      <c r="B741" t="s">
        <v>275</v>
      </c>
      <c r="C741" t="s">
        <v>111</v>
      </c>
      <c r="D741">
        <v>75000</v>
      </c>
      <c r="E741">
        <v>90908</v>
      </c>
      <c r="F741">
        <v>16</v>
      </c>
      <c r="G741">
        <v>4.0999999999999996</v>
      </c>
      <c r="H741">
        <v>10</v>
      </c>
      <c r="I741" t="s">
        <v>93</v>
      </c>
    </row>
    <row r="742" spans="1:9">
      <c r="A742">
        <v>100741</v>
      </c>
      <c r="B742" t="s">
        <v>343</v>
      </c>
      <c r="C742" t="s">
        <v>111</v>
      </c>
      <c r="D742">
        <v>75000</v>
      </c>
      <c r="E742">
        <v>111954</v>
      </c>
      <c r="F742">
        <v>30</v>
      </c>
      <c r="G742">
        <v>4.5999999999999996</v>
      </c>
      <c r="H742">
        <v>12</v>
      </c>
      <c r="I742" t="s">
        <v>93</v>
      </c>
    </row>
    <row r="743" spans="1:9">
      <c r="A743">
        <v>100742</v>
      </c>
      <c r="B743" t="s">
        <v>190</v>
      </c>
      <c r="C743" t="s">
        <v>111</v>
      </c>
      <c r="D743">
        <v>75000</v>
      </c>
      <c r="E743">
        <v>112450</v>
      </c>
      <c r="F743">
        <v>25</v>
      </c>
      <c r="G743">
        <v>3.9</v>
      </c>
      <c r="H743">
        <v>6</v>
      </c>
      <c r="I743" t="s">
        <v>93</v>
      </c>
    </row>
    <row r="744" spans="1:9">
      <c r="A744">
        <v>100743</v>
      </c>
      <c r="B744" t="s">
        <v>236</v>
      </c>
      <c r="C744" t="s">
        <v>111</v>
      </c>
      <c r="D744">
        <v>150000</v>
      </c>
      <c r="E744">
        <v>30438</v>
      </c>
      <c r="F744">
        <v>27</v>
      </c>
      <c r="G744">
        <v>1.8</v>
      </c>
      <c r="H744">
        <v>0</v>
      </c>
      <c r="I744" t="s">
        <v>93</v>
      </c>
    </row>
    <row r="745" spans="1:9">
      <c r="A745">
        <v>100744</v>
      </c>
      <c r="B745" t="s">
        <v>265</v>
      </c>
      <c r="C745" t="s">
        <v>92</v>
      </c>
      <c r="D745">
        <v>120000</v>
      </c>
      <c r="E745">
        <v>45160</v>
      </c>
      <c r="F745">
        <v>16</v>
      </c>
      <c r="G745">
        <v>2.4</v>
      </c>
      <c r="H745">
        <v>9</v>
      </c>
      <c r="I745" t="s">
        <v>93</v>
      </c>
    </row>
    <row r="746" spans="1:9">
      <c r="A746">
        <v>100745</v>
      </c>
      <c r="B746" t="s">
        <v>188</v>
      </c>
      <c r="C746" t="s">
        <v>111</v>
      </c>
      <c r="D746">
        <v>100000</v>
      </c>
      <c r="E746">
        <v>156210</v>
      </c>
      <c r="F746">
        <v>15</v>
      </c>
      <c r="G746">
        <v>3.8</v>
      </c>
      <c r="H746">
        <v>0</v>
      </c>
      <c r="I746" t="s">
        <v>93</v>
      </c>
    </row>
    <row r="747" spans="1:9">
      <c r="A747">
        <v>100746</v>
      </c>
      <c r="B747" t="s">
        <v>207</v>
      </c>
      <c r="C747" t="s">
        <v>111</v>
      </c>
      <c r="D747">
        <v>0</v>
      </c>
      <c r="E747">
        <v>75985</v>
      </c>
      <c r="F747">
        <v>28</v>
      </c>
      <c r="G747">
        <v>2.1</v>
      </c>
      <c r="H747">
        <v>15</v>
      </c>
      <c r="I747" t="s">
        <v>93</v>
      </c>
    </row>
    <row r="748" spans="1:9">
      <c r="A748">
        <v>100747</v>
      </c>
      <c r="B748" t="s">
        <v>144</v>
      </c>
      <c r="C748" t="s">
        <v>107</v>
      </c>
      <c r="D748">
        <v>150000</v>
      </c>
      <c r="E748">
        <v>106740</v>
      </c>
      <c r="F748">
        <v>22</v>
      </c>
      <c r="G748">
        <v>4.5999999999999996</v>
      </c>
      <c r="H748">
        <v>10</v>
      </c>
      <c r="I748" t="s">
        <v>93</v>
      </c>
    </row>
    <row r="749" spans="1:9">
      <c r="A749">
        <v>100748</v>
      </c>
      <c r="B749" t="s">
        <v>234</v>
      </c>
      <c r="C749" t="s">
        <v>95</v>
      </c>
      <c r="D749">
        <v>75000</v>
      </c>
      <c r="E749">
        <v>136931</v>
      </c>
      <c r="F749">
        <v>22</v>
      </c>
      <c r="G749">
        <v>1.9</v>
      </c>
      <c r="H749">
        <v>7</v>
      </c>
      <c r="I749" t="s">
        <v>93</v>
      </c>
    </row>
    <row r="750" spans="1:9">
      <c r="A750">
        <v>100749</v>
      </c>
      <c r="B750" t="s">
        <v>147</v>
      </c>
      <c r="C750" t="s">
        <v>107</v>
      </c>
      <c r="D750">
        <v>150000</v>
      </c>
      <c r="E750">
        <v>94600</v>
      </c>
      <c r="F750">
        <v>23</v>
      </c>
      <c r="G750">
        <v>3.1</v>
      </c>
      <c r="H750">
        <v>8</v>
      </c>
      <c r="I750" t="s">
        <v>93</v>
      </c>
    </row>
    <row r="751" spans="1:9">
      <c r="A751">
        <v>100750</v>
      </c>
      <c r="B751" t="s">
        <v>206</v>
      </c>
      <c r="C751" t="s">
        <v>92</v>
      </c>
      <c r="D751">
        <v>150000</v>
      </c>
      <c r="E751">
        <v>46220</v>
      </c>
      <c r="F751">
        <v>19</v>
      </c>
      <c r="G751">
        <v>1.6</v>
      </c>
      <c r="H751">
        <v>5</v>
      </c>
      <c r="I751" t="s">
        <v>93</v>
      </c>
    </row>
    <row r="752" spans="1:9">
      <c r="A752">
        <v>100751</v>
      </c>
      <c r="B752" t="s">
        <v>344</v>
      </c>
      <c r="C752" t="s">
        <v>111</v>
      </c>
      <c r="D752">
        <v>50000</v>
      </c>
      <c r="E752">
        <v>51929</v>
      </c>
      <c r="F752">
        <v>28</v>
      </c>
      <c r="G752">
        <v>4.0999999999999996</v>
      </c>
      <c r="H752">
        <v>9</v>
      </c>
      <c r="I752" t="s">
        <v>93</v>
      </c>
    </row>
    <row r="753" spans="1:9">
      <c r="A753">
        <v>100752</v>
      </c>
      <c r="B753" t="s">
        <v>228</v>
      </c>
      <c r="C753" t="s">
        <v>92</v>
      </c>
      <c r="D753">
        <v>120000</v>
      </c>
      <c r="E753">
        <v>172874</v>
      </c>
      <c r="F753">
        <v>30</v>
      </c>
      <c r="G753">
        <v>4.0999999999999996</v>
      </c>
      <c r="H753">
        <v>9</v>
      </c>
      <c r="I753" t="s">
        <v>93</v>
      </c>
    </row>
    <row r="754" spans="1:9">
      <c r="A754">
        <v>100753</v>
      </c>
      <c r="B754" t="s">
        <v>313</v>
      </c>
      <c r="C754" t="s">
        <v>95</v>
      </c>
      <c r="D754">
        <v>0</v>
      </c>
      <c r="E754">
        <v>115094</v>
      </c>
      <c r="F754">
        <v>27</v>
      </c>
      <c r="G754">
        <v>3.7</v>
      </c>
      <c r="H754">
        <v>13</v>
      </c>
      <c r="I754" t="s">
        <v>50</v>
      </c>
    </row>
    <row r="755" spans="1:9">
      <c r="A755">
        <v>100754</v>
      </c>
      <c r="B755" t="s">
        <v>225</v>
      </c>
      <c r="C755" t="s">
        <v>95</v>
      </c>
      <c r="D755">
        <v>50000</v>
      </c>
      <c r="E755">
        <v>169022</v>
      </c>
      <c r="F755">
        <v>22</v>
      </c>
      <c r="G755">
        <v>2.4</v>
      </c>
      <c r="H755">
        <v>7</v>
      </c>
      <c r="I755" t="s">
        <v>93</v>
      </c>
    </row>
    <row r="756" spans="1:9">
      <c r="A756">
        <v>100755</v>
      </c>
      <c r="B756" t="s">
        <v>161</v>
      </c>
      <c r="C756" t="s">
        <v>111</v>
      </c>
      <c r="D756">
        <v>120000</v>
      </c>
      <c r="E756">
        <v>177131</v>
      </c>
      <c r="F756">
        <v>19</v>
      </c>
      <c r="G756">
        <v>3</v>
      </c>
      <c r="H756">
        <v>11</v>
      </c>
      <c r="I756" t="s">
        <v>93</v>
      </c>
    </row>
    <row r="757" spans="1:9">
      <c r="A757">
        <v>100756</v>
      </c>
      <c r="B757" t="s">
        <v>216</v>
      </c>
      <c r="C757" t="s">
        <v>95</v>
      </c>
      <c r="D757">
        <v>75000</v>
      </c>
      <c r="E757">
        <v>94091</v>
      </c>
      <c r="F757">
        <v>28</v>
      </c>
      <c r="G757">
        <v>4</v>
      </c>
      <c r="H757">
        <v>10</v>
      </c>
      <c r="I757" t="s">
        <v>93</v>
      </c>
    </row>
    <row r="758" spans="1:9">
      <c r="A758">
        <v>100757</v>
      </c>
      <c r="B758" t="s">
        <v>301</v>
      </c>
      <c r="C758" t="s">
        <v>111</v>
      </c>
      <c r="D758">
        <v>75000</v>
      </c>
      <c r="E758">
        <v>44960</v>
      </c>
      <c r="F758">
        <v>21</v>
      </c>
      <c r="G758">
        <v>3.8</v>
      </c>
      <c r="H758">
        <v>9</v>
      </c>
      <c r="I758" t="s">
        <v>50</v>
      </c>
    </row>
    <row r="759" spans="1:9">
      <c r="A759">
        <v>100758</v>
      </c>
      <c r="B759" t="s">
        <v>168</v>
      </c>
      <c r="C759" t="s">
        <v>95</v>
      </c>
      <c r="D759">
        <v>150000</v>
      </c>
      <c r="E759">
        <v>173481</v>
      </c>
      <c r="F759">
        <v>23</v>
      </c>
      <c r="G759">
        <v>4.4000000000000004</v>
      </c>
      <c r="H759">
        <v>11</v>
      </c>
      <c r="I759" t="s">
        <v>93</v>
      </c>
    </row>
    <row r="760" spans="1:9">
      <c r="A760">
        <v>100759</v>
      </c>
      <c r="B760" t="s">
        <v>277</v>
      </c>
      <c r="C760" t="s">
        <v>111</v>
      </c>
      <c r="D760">
        <v>0</v>
      </c>
      <c r="E760">
        <v>65931</v>
      </c>
      <c r="F760">
        <v>22</v>
      </c>
      <c r="G760">
        <v>4.7</v>
      </c>
      <c r="H760">
        <v>2</v>
      </c>
      <c r="I760" t="s">
        <v>93</v>
      </c>
    </row>
    <row r="761" spans="1:9">
      <c r="A761">
        <v>100760</v>
      </c>
      <c r="B761" t="s">
        <v>288</v>
      </c>
      <c r="C761" t="s">
        <v>111</v>
      </c>
      <c r="D761">
        <v>150000</v>
      </c>
      <c r="E761">
        <v>73238</v>
      </c>
      <c r="F761">
        <v>23</v>
      </c>
      <c r="G761">
        <v>3.4</v>
      </c>
      <c r="H761">
        <v>9</v>
      </c>
      <c r="I761" t="s">
        <v>93</v>
      </c>
    </row>
    <row r="762" spans="1:9">
      <c r="A762">
        <v>100761</v>
      </c>
      <c r="B762" t="s">
        <v>229</v>
      </c>
      <c r="C762" t="s">
        <v>111</v>
      </c>
      <c r="D762">
        <v>100000</v>
      </c>
      <c r="E762">
        <v>65574</v>
      </c>
      <c r="F762">
        <v>17</v>
      </c>
      <c r="G762">
        <v>1.7</v>
      </c>
      <c r="H762">
        <v>6</v>
      </c>
      <c r="I762" t="s">
        <v>93</v>
      </c>
    </row>
    <row r="763" spans="1:9">
      <c r="A763">
        <v>100762</v>
      </c>
      <c r="B763" t="s">
        <v>117</v>
      </c>
      <c r="C763" t="s">
        <v>95</v>
      </c>
      <c r="D763">
        <v>75000</v>
      </c>
      <c r="E763">
        <v>35033</v>
      </c>
      <c r="F763">
        <v>26</v>
      </c>
      <c r="G763">
        <v>3.8</v>
      </c>
      <c r="H763">
        <v>5</v>
      </c>
      <c r="I763" t="s">
        <v>93</v>
      </c>
    </row>
    <row r="764" spans="1:9">
      <c r="A764">
        <v>100763</v>
      </c>
      <c r="B764" t="s">
        <v>195</v>
      </c>
      <c r="C764" t="s">
        <v>92</v>
      </c>
      <c r="D764">
        <v>0</v>
      </c>
      <c r="E764">
        <v>111865</v>
      </c>
      <c r="F764">
        <v>20</v>
      </c>
      <c r="G764">
        <v>2.1</v>
      </c>
      <c r="H764">
        <v>12</v>
      </c>
      <c r="I764" t="s">
        <v>93</v>
      </c>
    </row>
    <row r="765" spans="1:9">
      <c r="A765">
        <v>100764</v>
      </c>
      <c r="B765" t="s">
        <v>157</v>
      </c>
      <c r="C765" t="s">
        <v>111</v>
      </c>
      <c r="D765">
        <v>50000</v>
      </c>
      <c r="E765">
        <v>99526</v>
      </c>
      <c r="F765">
        <v>26</v>
      </c>
      <c r="G765">
        <v>1.7</v>
      </c>
      <c r="H765">
        <v>5</v>
      </c>
      <c r="I765" t="s">
        <v>93</v>
      </c>
    </row>
    <row r="766" spans="1:9">
      <c r="A766">
        <v>100765</v>
      </c>
      <c r="B766" t="s">
        <v>246</v>
      </c>
      <c r="C766" t="s">
        <v>92</v>
      </c>
      <c r="D766">
        <v>150000</v>
      </c>
      <c r="E766">
        <v>129246</v>
      </c>
      <c r="F766">
        <v>28</v>
      </c>
      <c r="G766">
        <v>3</v>
      </c>
      <c r="H766">
        <v>0</v>
      </c>
      <c r="I766" t="s">
        <v>50</v>
      </c>
    </row>
    <row r="767" spans="1:9">
      <c r="A767">
        <v>100766</v>
      </c>
      <c r="B767" t="s">
        <v>171</v>
      </c>
      <c r="C767" t="s">
        <v>111</v>
      </c>
      <c r="D767">
        <v>120000</v>
      </c>
      <c r="E767">
        <v>57298</v>
      </c>
      <c r="F767">
        <v>29</v>
      </c>
      <c r="G767">
        <v>2.1</v>
      </c>
      <c r="H767">
        <v>11</v>
      </c>
      <c r="I767" t="s">
        <v>93</v>
      </c>
    </row>
    <row r="768" spans="1:9">
      <c r="A768">
        <v>100767</v>
      </c>
      <c r="B768" t="s">
        <v>238</v>
      </c>
      <c r="C768" t="s">
        <v>92</v>
      </c>
      <c r="D768">
        <v>0</v>
      </c>
      <c r="E768">
        <v>76027</v>
      </c>
      <c r="F768">
        <v>29</v>
      </c>
      <c r="G768">
        <v>2.4</v>
      </c>
      <c r="H768">
        <v>8</v>
      </c>
      <c r="I768" t="s">
        <v>93</v>
      </c>
    </row>
    <row r="769" spans="1:9">
      <c r="A769">
        <v>100768</v>
      </c>
      <c r="B769" t="s">
        <v>242</v>
      </c>
      <c r="C769" t="s">
        <v>92</v>
      </c>
      <c r="D769">
        <v>100000</v>
      </c>
      <c r="E769">
        <v>162700</v>
      </c>
      <c r="F769">
        <v>20</v>
      </c>
      <c r="G769">
        <v>3.8</v>
      </c>
      <c r="H769">
        <v>5</v>
      </c>
      <c r="I769" t="s">
        <v>93</v>
      </c>
    </row>
    <row r="770" spans="1:9">
      <c r="A770">
        <v>100769</v>
      </c>
      <c r="B770" t="s">
        <v>162</v>
      </c>
      <c r="C770" t="s">
        <v>107</v>
      </c>
      <c r="D770">
        <v>120000</v>
      </c>
      <c r="E770">
        <v>174347</v>
      </c>
      <c r="F770">
        <v>21</v>
      </c>
      <c r="G770">
        <v>4.3</v>
      </c>
      <c r="H770">
        <v>4</v>
      </c>
      <c r="I770" t="s">
        <v>93</v>
      </c>
    </row>
    <row r="771" spans="1:9">
      <c r="A771">
        <v>100770</v>
      </c>
      <c r="B771" t="s">
        <v>345</v>
      </c>
      <c r="C771" t="s">
        <v>111</v>
      </c>
      <c r="D771">
        <v>50000</v>
      </c>
      <c r="E771">
        <v>159742</v>
      </c>
      <c r="F771">
        <v>27</v>
      </c>
      <c r="G771">
        <v>4.8</v>
      </c>
      <c r="H771">
        <v>2</v>
      </c>
      <c r="I771" t="s">
        <v>50</v>
      </c>
    </row>
    <row r="772" spans="1:9">
      <c r="A772">
        <v>100771</v>
      </c>
      <c r="B772" t="s">
        <v>208</v>
      </c>
      <c r="C772" t="s">
        <v>111</v>
      </c>
      <c r="D772">
        <v>150000</v>
      </c>
      <c r="E772">
        <v>71527</v>
      </c>
      <c r="F772">
        <v>28</v>
      </c>
      <c r="G772">
        <v>3.3</v>
      </c>
      <c r="H772">
        <v>1</v>
      </c>
      <c r="I772" t="s">
        <v>50</v>
      </c>
    </row>
    <row r="773" spans="1:9">
      <c r="A773">
        <v>100772</v>
      </c>
      <c r="B773" t="s">
        <v>302</v>
      </c>
      <c r="C773" t="s">
        <v>95</v>
      </c>
      <c r="D773">
        <v>75000</v>
      </c>
      <c r="E773">
        <v>67183</v>
      </c>
      <c r="F773">
        <v>21</v>
      </c>
      <c r="G773">
        <v>3.5</v>
      </c>
      <c r="H773">
        <v>5</v>
      </c>
      <c r="I773" t="s">
        <v>93</v>
      </c>
    </row>
    <row r="774" spans="1:9">
      <c r="A774">
        <v>100773</v>
      </c>
      <c r="B774" t="s">
        <v>263</v>
      </c>
      <c r="C774" t="s">
        <v>95</v>
      </c>
      <c r="D774">
        <v>120000</v>
      </c>
      <c r="E774">
        <v>112189</v>
      </c>
      <c r="F774">
        <v>17</v>
      </c>
      <c r="G774">
        <v>4.8</v>
      </c>
      <c r="H774">
        <v>2</v>
      </c>
      <c r="I774" t="s">
        <v>50</v>
      </c>
    </row>
    <row r="775" spans="1:9">
      <c r="A775">
        <v>100774</v>
      </c>
      <c r="B775" t="s">
        <v>346</v>
      </c>
      <c r="C775" t="s">
        <v>92</v>
      </c>
      <c r="D775">
        <v>50000</v>
      </c>
      <c r="E775">
        <v>143034</v>
      </c>
      <c r="F775">
        <v>27</v>
      </c>
      <c r="G775">
        <v>4.4000000000000004</v>
      </c>
      <c r="H775">
        <v>10</v>
      </c>
      <c r="I775" t="s">
        <v>93</v>
      </c>
    </row>
    <row r="776" spans="1:9">
      <c r="A776">
        <v>100775</v>
      </c>
      <c r="B776" t="s">
        <v>281</v>
      </c>
      <c r="C776" t="s">
        <v>107</v>
      </c>
      <c r="D776">
        <v>150000</v>
      </c>
      <c r="E776">
        <v>102375</v>
      </c>
      <c r="F776">
        <v>29</v>
      </c>
      <c r="G776">
        <v>4.0999999999999996</v>
      </c>
      <c r="H776">
        <v>3</v>
      </c>
      <c r="I776" t="s">
        <v>93</v>
      </c>
    </row>
    <row r="777" spans="1:9">
      <c r="A777">
        <v>100776</v>
      </c>
      <c r="B777" t="s">
        <v>199</v>
      </c>
      <c r="C777" t="s">
        <v>95</v>
      </c>
      <c r="D777">
        <v>0</v>
      </c>
      <c r="E777">
        <v>147368</v>
      </c>
      <c r="F777">
        <v>19</v>
      </c>
      <c r="G777">
        <v>2.6</v>
      </c>
      <c r="H777">
        <v>5</v>
      </c>
      <c r="I777" t="s">
        <v>93</v>
      </c>
    </row>
    <row r="778" spans="1:9">
      <c r="A778">
        <v>100777</v>
      </c>
      <c r="B778" t="s">
        <v>272</v>
      </c>
      <c r="C778" t="s">
        <v>107</v>
      </c>
      <c r="D778">
        <v>150000</v>
      </c>
      <c r="E778">
        <v>99977</v>
      </c>
      <c r="F778">
        <v>23</v>
      </c>
      <c r="G778">
        <v>3</v>
      </c>
      <c r="H778">
        <v>2</v>
      </c>
      <c r="I778" t="s">
        <v>93</v>
      </c>
    </row>
    <row r="779" spans="1:9">
      <c r="A779">
        <v>100778</v>
      </c>
      <c r="B779" t="s">
        <v>339</v>
      </c>
      <c r="C779" t="s">
        <v>92</v>
      </c>
      <c r="D779">
        <v>75000</v>
      </c>
      <c r="E779">
        <v>85206</v>
      </c>
      <c r="F779">
        <v>19</v>
      </c>
      <c r="G779">
        <v>2.4</v>
      </c>
      <c r="H779">
        <v>2</v>
      </c>
      <c r="I779" t="s">
        <v>93</v>
      </c>
    </row>
    <row r="780" spans="1:9">
      <c r="A780">
        <v>100779</v>
      </c>
      <c r="B780" t="s">
        <v>162</v>
      </c>
      <c r="C780" t="s">
        <v>107</v>
      </c>
      <c r="D780">
        <v>50000</v>
      </c>
      <c r="E780">
        <v>115397</v>
      </c>
      <c r="F780">
        <v>29</v>
      </c>
      <c r="G780">
        <v>2.5</v>
      </c>
      <c r="H780">
        <v>9</v>
      </c>
      <c r="I780" t="s">
        <v>93</v>
      </c>
    </row>
    <row r="781" spans="1:9">
      <c r="A781">
        <v>100780</v>
      </c>
      <c r="B781" t="s">
        <v>161</v>
      </c>
      <c r="C781" t="s">
        <v>92</v>
      </c>
      <c r="D781">
        <v>100000</v>
      </c>
      <c r="E781">
        <v>170176</v>
      </c>
      <c r="F781">
        <v>28</v>
      </c>
      <c r="G781">
        <v>1.7</v>
      </c>
      <c r="H781">
        <v>9</v>
      </c>
      <c r="I781" t="s">
        <v>93</v>
      </c>
    </row>
    <row r="782" spans="1:9">
      <c r="A782">
        <v>100781</v>
      </c>
      <c r="B782" t="s">
        <v>335</v>
      </c>
      <c r="C782" t="s">
        <v>111</v>
      </c>
      <c r="D782">
        <v>120000</v>
      </c>
      <c r="E782">
        <v>71038</v>
      </c>
      <c r="F782">
        <v>27</v>
      </c>
      <c r="G782">
        <v>2.7</v>
      </c>
      <c r="H782">
        <v>8</v>
      </c>
      <c r="I782" t="s">
        <v>93</v>
      </c>
    </row>
    <row r="783" spans="1:9">
      <c r="A783">
        <v>100782</v>
      </c>
      <c r="B783" t="s">
        <v>257</v>
      </c>
      <c r="C783" t="s">
        <v>107</v>
      </c>
      <c r="D783">
        <v>75000</v>
      </c>
      <c r="E783">
        <v>61630</v>
      </c>
      <c r="F783">
        <v>16</v>
      </c>
      <c r="G783">
        <v>1.6</v>
      </c>
      <c r="H783">
        <v>1</v>
      </c>
      <c r="I783" t="s">
        <v>93</v>
      </c>
    </row>
    <row r="784" spans="1:9">
      <c r="A784">
        <v>100783</v>
      </c>
      <c r="B784" t="s">
        <v>207</v>
      </c>
      <c r="C784" t="s">
        <v>111</v>
      </c>
      <c r="D784">
        <v>75000</v>
      </c>
      <c r="E784">
        <v>118846</v>
      </c>
      <c r="F784">
        <v>30</v>
      </c>
      <c r="G784">
        <v>2.6</v>
      </c>
      <c r="H784">
        <v>1</v>
      </c>
      <c r="I784" t="s">
        <v>50</v>
      </c>
    </row>
    <row r="785" spans="1:9">
      <c r="A785">
        <v>100784</v>
      </c>
      <c r="B785" t="s">
        <v>285</v>
      </c>
      <c r="C785" t="s">
        <v>111</v>
      </c>
      <c r="D785">
        <v>100000</v>
      </c>
      <c r="E785">
        <v>144708</v>
      </c>
      <c r="F785">
        <v>17</v>
      </c>
      <c r="G785">
        <v>2.1</v>
      </c>
      <c r="H785">
        <v>15</v>
      </c>
      <c r="I785" t="s">
        <v>50</v>
      </c>
    </row>
    <row r="786" spans="1:9">
      <c r="A786">
        <v>100785</v>
      </c>
      <c r="B786" t="s">
        <v>335</v>
      </c>
      <c r="C786" t="s">
        <v>95</v>
      </c>
      <c r="D786">
        <v>120000</v>
      </c>
      <c r="E786">
        <v>72144</v>
      </c>
      <c r="F786">
        <v>30</v>
      </c>
      <c r="G786">
        <v>4.4000000000000004</v>
      </c>
      <c r="H786">
        <v>11</v>
      </c>
      <c r="I786" t="s">
        <v>93</v>
      </c>
    </row>
    <row r="787" spans="1:9">
      <c r="A787">
        <v>100786</v>
      </c>
      <c r="B787" t="s">
        <v>346</v>
      </c>
      <c r="C787" t="s">
        <v>111</v>
      </c>
      <c r="D787">
        <v>50000</v>
      </c>
      <c r="E787">
        <v>174756</v>
      </c>
      <c r="F787">
        <v>28</v>
      </c>
      <c r="G787">
        <v>4.5999999999999996</v>
      </c>
      <c r="H787">
        <v>9</v>
      </c>
      <c r="I787" t="s">
        <v>93</v>
      </c>
    </row>
    <row r="788" spans="1:9">
      <c r="A788">
        <v>100787</v>
      </c>
      <c r="B788" t="s">
        <v>210</v>
      </c>
      <c r="C788" t="s">
        <v>95</v>
      </c>
      <c r="D788">
        <v>0</v>
      </c>
      <c r="E788">
        <v>60505</v>
      </c>
      <c r="F788">
        <v>19</v>
      </c>
      <c r="G788">
        <v>4.0999999999999996</v>
      </c>
      <c r="H788">
        <v>8</v>
      </c>
      <c r="I788" t="s">
        <v>50</v>
      </c>
    </row>
    <row r="789" spans="1:9">
      <c r="A789">
        <v>100788</v>
      </c>
      <c r="B789" t="s">
        <v>179</v>
      </c>
      <c r="C789" t="s">
        <v>111</v>
      </c>
      <c r="D789">
        <v>50000</v>
      </c>
      <c r="E789">
        <v>119927</v>
      </c>
      <c r="F789">
        <v>24</v>
      </c>
      <c r="G789">
        <v>3.8</v>
      </c>
      <c r="H789">
        <v>10</v>
      </c>
      <c r="I789" t="s">
        <v>93</v>
      </c>
    </row>
    <row r="790" spans="1:9">
      <c r="A790">
        <v>100789</v>
      </c>
      <c r="B790" t="s">
        <v>302</v>
      </c>
      <c r="C790" t="s">
        <v>107</v>
      </c>
      <c r="D790">
        <v>75000</v>
      </c>
      <c r="E790">
        <v>45134</v>
      </c>
      <c r="F790">
        <v>29</v>
      </c>
      <c r="G790">
        <v>3.1</v>
      </c>
      <c r="H790">
        <v>4</v>
      </c>
      <c r="I790" t="s">
        <v>93</v>
      </c>
    </row>
    <row r="791" spans="1:9">
      <c r="A791">
        <v>100790</v>
      </c>
      <c r="B791" t="s">
        <v>133</v>
      </c>
      <c r="C791" t="s">
        <v>107</v>
      </c>
      <c r="D791">
        <v>100000</v>
      </c>
      <c r="E791">
        <v>74004</v>
      </c>
      <c r="F791">
        <v>19</v>
      </c>
      <c r="G791">
        <v>4</v>
      </c>
      <c r="H791">
        <v>9</v>
      </c>
      <c r="I791" t="s">
        <v>50</v>
      </c>
    </row>
    <row r="792" spans="1:9">
      <c r="A792">
        <v>100791</v>
      </c>
      <c r="B792" t="s">
        <v>326</v>
      </c>
      <c r="C792" t="s">
        <v>92</v>
      </c>
      <c r="D792">
        <v>150000</v>
      </c>
      <c r="E792">
        <v>142870</v>
      </c>
      <c r="F792">
        <v>22</v>
      </c>
      <c r="G792">
        <v>1.8</v>
      </c>
      <c r="H792">
        <v>5</v>
      </c>
      <c r="I792" t="s">
        <v>93</v>
      </c>
    </row>
    <row r="793" spans="1:9">
      <c r="A793">
        <v>100792</v>
      </c>
      <c r="B793" t="s">
        <v>179</v>
      </c>
      <c r="C793" t="s">
        <v>107</v>
      </c>
      <c r="D793">
        <v>50000</v>
      </c>
      <c r="E793">
        <v>125274</v>
      </c>
      <c r="F793">
        <v>16</v>
      </c>
      <c r="G793">
        <v>2.6</v>
      </c>
      <c r="H793">
        <v>6</v>
      </c>
      <c r="I793" t="s">
        <v>93</v>
      </c>
    </row>
    <row r="794" spans="1:9">
      <c r="A794">
        <v>100793</v>
      </c>
      <c r="B794" t="s">
        <v>221</v>
      </c>
      <c r="C794" t="s">
        <v>111</v>
      </c>
      <c r="D794">
        <v>0</v>
      </c>
      <c r="E794">
        <v>32228</v>
      </c>
      <c r="F794">
        <v>22</v>
      </c>
      <c r="G794">
        <v>4.5999999999999996</v>
      </c>
      <c r="H794">
        <v>9</v>
      </c>
      <c r="I794" t="s">
        <v>93</v>
      </c>
    </row>
    <row r="795" spans="1:9">
      <c r="A795">
        <v>100794</v>
      </c>
      <c r="B795" t="s">
        <v>324</v>
      </c>
      <c r="C795" t="s">
        <v>92</v>
      </c>
      <c r="D795">
        <v>100000</v>
      </c>
      <c r="E795">
        <v>148974</v>
      </c>
      <c r="F795">
        <v>29</v>
      </c>
      <c r="G795">
        <v>4.3</v>
      </c>
      <c r="H795">
        <v>1</v>
      </c>
      <c r="I795" t="s">
        <v>93</v>
      </c>
    </row>
    <row r="796" spans="1:9">
      <c r="A796">
        <v>100795</v>
      </c>
      <c r="B796" t="s">
        <v>303</v>
      </c>
      <c r="C796" t="s">
        <v>95</v>
      </c>
      <c r="D796">
        <v>75000</v>
      </c>
      <c r="E796">
        <v>82835</v>
      </c>
      <c r="F796">
        <v>26</v>
      </c>
      <c r="G796">
        <v>3</v>
      </c>
      <c r="H796">
        <v>9</v>
      </c>
      <c r="I796" t="s">
        <v>93</v>
      </c>
    </row>
    <row r="797" spans="1:9">
      <c r="A797">
        <v>100796</v>
      </c>
      <c r="B797" t="s">
        <v>347</v>
      </c>
      <c r="C797" t="s">
        <v>107</v>
      </c>
      <c r="D797">
        <v>0</v>
      </c>
      <c r="E797">
        <v>161922</v>
      </c>
      <c r="F797">
        <v>19</v>
      </c>
      <c r="G797">
        <v>2.9</v>
      </c>
      <c r="H797">
        <v>13</v>
      </c>
      <c r="I797" t="s">
        <v>93</v>
      </c>
    </row>
    <row r="798" spans="1:9">
      <c r="A798">
        <v>100797</v>
      </c>
      <c r="B798" t="s">
        <v>156</v>
      </c>
      <c r="C798" t="s">
        <v>107</v>
      </c>
      <c r="D798">
        <v>50000</v>
      </c>
      <c r="E798">
        <v>132312</v>
      </c>
      <c r="F798">
        <v>15</v>
      </c>
      <c r="G798">
        <v>1.6</v>
      </c>
      <c r="H798">
        <v>15</v>
      </c>
      <c r="I798" t="s">
        <v>93</v>
      </c>
    </row>
    <row r="799" spans="1:9">
      <c r="A799">
        <v>100798</v>
      </c>
      <c r="B799" t="s">
        <v>279</v>
      </c>
      <c r="C799" t="s">
        <v>95</v>
      </c>
      <c r="D799">
        <v>50000</v>
      </c>
      <c r="E799">
        <v>155558</v>
      </c>
      <c r="F799">
        <v>15</v>
      </c>
      <c r="G799">
        <v>3.7</v>
      </c>
      <c r="H799">
        <v>9</v>
      </c>
      <c r="I799" t="s">
        <v>93</v>
      </c>
    </row>
    <row r="800" spans="1:9">
      <c r="A800">
        <v>100799</v>
      </c>
      <c r="B800" t="s">
        <v>288</v>
      </c>
      <c r="C800" t="s">
        <v>95</v>
      </c>
      <c r="D800">
        <v>50000</v>
      </c>
      <c r="E800">
        <v>35395</v>
      </c>
      <c r="F800">
        <v>27</v>
      </c>
      <c r="G800">
        <v>4.5</v>
      </c>
      <c r="H800">
        <v>4</v>
      </c>
      <c r="I800" t="s">
        <v>93</v>
      </c>
    </row>
    <row r="801" spans="1:9">
      <c r="A801">
        <v>100800</v>
      </c>
      <c r="B801" t="s">
        <v>131</v>
      </c>
      <c r="C801" t="s">
        <v>95</v>
      </c>
      <c r="D801">
        <v>100000</v>
      </c>
      <c r="E801">
        <v>167809</v>
      </c>
      <c r="F801">
        <v>24</v>
      </c>
      <c r="G801">
        <v>2.7</v>
      </c>
      <c r="H801">
        <v>2</v>
      </c>
      <c r="I801" t="s">
        <v>93</v>
      </c>
    </row>
    <row r="802" spans="1:9">
      <c r="A802">
        <v>100801</v>
      </c>
      <c r="B802" t="s">
        <v>215</v>
      </c>
      <c r="C802" t="s">
        <v>111</v>
      </c>
      <c r="D802">
        <v>0</v>
      </c>
      <c r="E802">
        <v>92531</v>
      </c>
      <c r="F802">
        <v>25</v>
      </c>
      <c r="G802">
        <v>2</v>
      </c>
      <c r="H802">
        <v>11</v>
      </c>
      <c r="I802" t="s">
        <v>93</v>
      </c>
    </row>
    <row r="803" spans="1:9">
      <c r="A803">
        <v>100802</v>
      </c>
      <c r="B803" t="s">
        <v>298</v>
      </c>
      <c r="C803" t="s">
        <v>92</v>
      </c>
      <c r="D803">
        <v>75000</v>
      </c>
      <c r="E803">
        <v>117049</v>
      </c>
      <c r="F803">
        <v>17</v>
      </c>
      <c r="G803">
        <v>4.0999999999999996</v>
      </c>
      <c r="H803">
        <v>0</v>
      </c>
      <c r="I803" t="s">
        <v>93</v>
      </c>
    </row>
    <row r="804" spans="1:9">
      <c r="A804">
        <v>100803</v>
      </c>
      <c r="B804" t="s">
        <v>321</v>
      </c>
      <c r="C804" t="s">
        <v>95</v>
      </c>
      <c r="D804">
        <v>50000</v>
      </c>
      <c r="E804">
        <v>119879</v>
      </c>
      <c r="F804">
        <v>25</v>
      </c>
      <c r="G804">
        <v>4.2</v>
      </c>
      <c r="H804">
        <v>5</v>
      </c>
      <c r="I804" t="s">
        <v>93</v>
      </c>
    </row>
    <row r="805" spans="1:9">
      <c r="A805">
        <v>100804</v>
      </c>
      <c r="B805" t="s">
        <v>278</v>
      </c>
      <c r="C805" t="s">
        <v>92</v>
      </c>
      <c r="D805">
        <v>150000</v>
      </c>
      <c r="E805">
        <v>43356</v>
      </c>
      <c r="F805">
        <v>26</v>
      </c>
      <c r="G805">
        <v>2.4</v>
      </c>
      <c r="H805">
        <v>5</v>
      </c>
      <c r="I805" t="s">
        <v>93</v>
      </c>
    </row>
    <row r="806" spans="1:9">
      <c r="A806">
        <v>100805</v>
      </c>
      <c r="B806" t="s">
        <v>348</v>
      </c>
      <c r="C806" t="s">
        <v>107</v>
      </c>
      <c r="D806">
        <v>120000</v>
      </c>
      <c r="E806">
        <v>60363</v>
      </c>
      <c r="F806">
        <v>16</v>
      </c>
      <c r="G806">
        <v>4</v>
      </c>
      <c r="H806">
        <v>14</v>
      </c>
      <c r="I806" t="s">
        <v>93</v>
      </c>
    </row>
    <row r="807" spans="1:9">
      <c r="A807">
        <v>100806</v>
      </c>
      <c r="B807" t="s">
        <v>331</v>
      </c>
      <c r="C807" t="s">
        <v>95</v>
      </c>
      <c r="D807">
        <v>120000</v>
      </c>
      <c r="E807">
        <v>76010</v>
      </c>
      <c r="F807">
        <v>20</v>
      </c>
      <c r="G807">
        <v>3.8</v>
      </c>
      <c r="H807">
        <v>13</v>
      </c>
      <c r="I807" t="s">
        <v>50</v>
      </c>
    </row>
    <row r="808" spans="1:9">
      <c r="A808">
        <v>100807</v>
      </c>
      <c r="B808" t="s">
        <v>201</v>
      </c>
      <c r="C808" t="s">
        <v>107</v>
      </c>
      <c r="D808">
        <v>100000</v>
      </c>
      <c r="E808">
        <v>150896</v>
      </c>
      <c r="F808">
        <v>28</v>
      </c>
      <c r="G808">
        <v>4.9000000000000004</v>
      </c>
      <c r="H808">
        <v>9</v>
      </c>
      <c r="I808" t="s">
        <v>93</v>
      </c>
    </row>
    <row r="809" spans="1:9">
      <c r="A809">
        <v>100808</v>
      </c>
      <c r="B809" t="s">
        <v>138</v>
      </c>
      <c r="C809" t="s">
        <v>95</v>
      </c>
      <c r="D809">
        <v>150000</v>
      </c>
      <c r="E809">
        <v>102704</v>
      </c>
      <c r="F809">
        <v>16</v>
      </c>
      <c r="G809">
        <v>2.6</v>
      </c>
      <c r="H809">
        <v>3</v>
      </c>
      <c r="I809" t="s">
        <v>93</v>
      </c>
    </row>
    <row r="810" spans="1:9">
      <c r="A810">
        <v>100809</v>
      </c>
      <c r="B810" t="s">
        <v>344</v>
      </c>
      <c r="C810" t="s">
        <v>111</v>
      </c>
      <c r="D810">
        <v>50000</v>
      </c>
      <c r="E810">
        <v>84357</v>
      </c>
      <c r="F810">
        <v>18</v>
      </c>
      <c r="G810">
        <v>1.6</v>
      </c>
      <c r="H810">
        <v>13</v>
      </c>
      <c r="I810" t="s">
        <v>50</v>
      </c>
    </row>
    <row r="811" spans="1:9">
      <c r="A811">
        <v>100810</v>
      </c>
      <c r="B811" t="s">
        <v>314</v>
      </c>
      <c r="C811" t="s">
        <v>92</v>
      </c>
      <c r="D811">
        <v>150000</v>
      </c>
      <c r="E811">
        <v>120225</v>
      </c>
      <c r="F811">
        <v>23</v>
      </c>
      <c r="G811">
        <v>4.0999999999999996</v>
      </c>
      <c r="H811">
        <v>14</v>
      </c>
      <c r="I811" t="s">
        <v>93</v>
      </c>
    </row>
    <row r="812" spans="1:9">
      <c r="A812">
        <v>100811</v>
      </c>
      <c r="B812" t="s">
        <v>251</v>
      </c>
      <c r="C812" t="s">
        <v>92</v>
      </c>
      <c r="D812">
        <v>50000</v>
      </c>
      <c r="E812">
        <v>174407</v>
      </c>
      <c r="F812">
        <v>28</v>
      </c>
      <c r="G812">
        <v>1.8</v>
      </c>
      <c r="H812">
        <v>4</v>
      </c>
      <c r="I812" t="s">
        <v>93</v>
      </c>
    </row>
    <row r="813" spans="1:9">
      <c r="A813">
        <v>100812</v>
      </c>
      <c r="B813" t="s">
        <v>327</v>
      </c>
      <c r="C813" t="s">
        <v>95</v>
      </c>
      <c r="D813">
        <v>100000</v>
      </c>
      <c r="E813">
        <v>110665</v>
      </c>
      <c r="F813">
        <v>27</v>
      </c>
      <c r="G813">
        <v>3</v>
      </c>
      <c r="H813">
        <v>7</v>
      </c>
      <c r="I813" t="s">
        <v>93</v>
      </c>
    </row>
    <row r="814" spans="1:9">
      <c r="A814">
        <v>100813</v>
      </c>
      <c r="B814" t="s">
        <v>201</v>
      </c>
      <c r="C814" t="s">
        <v>92</v>
      </c>
      <c r="D814">
        <v>75000</v>
      </c>
      <c r="E814">
        <v>154846</v>
      </c>
      <c r="F814">
        <v>16</v>
      </c>
      <c r="G814">
        <v>4.8</v>
      </c>
      <c r="H814">
        <v>0</v>
      </c>
      <c r="I814" t="s">
        <v>93</v>
      </c>
    </row>
    <row r="815" spans="1:9">
      <c r="A815">
        <v>100814</v>
      </c>
      <c r="B815" t="s">
        <v>205</v>
      </c>
      <c r="C815" t="s">
        <v>95</v>
      </c>
      <c r="D815">
        <v>75000</v>
      </c>
      <c r="E815">
        <v>111721</v>
      </c>
      <c r="F815">
        <v>21</v>
      </c>
      <c r="G815">
        <v>4.5</v>
      </c>
      <c r="H815">
        <v>11</v>
      </c>
      <c r="I815" t="s">
        <v>93</v>
      </c>
    </row>
    <row r="816" spans="1:9">
      <c r="A816">
        <v>100815</v>
      </c>
      <c r="B816" t="s">
        <v>349</v>
      </c>
      <c r="C816" t="s">
        <v>95</v>
      </c>
      <c r="D816">
        <v>75000</v>
      </c>
      <c r="E816">
        <v>73934</v>
      </c>
      <c r="F816">
        <v>21</v>
      </c>
      <c r="G816">
        <v>3.7</v>
      </c>
      <c r="H816">
        <v>14</v>
      </c>
      <c r="I816" t="s">
        <v>93</v>
      </c>
    </row>
    <row r="817" spans="1:9">
      <c r="A817">
        <v>100816</v>
      </c>
      <c r="B817" t="s">
        <v>163</v>
      </c>
      <c r="C817" t="s">
        <v>95</v>
      </c>
      <c r="D817">
        <v>75000</v>
      </c>
      <c r="E817">
        <v>140014</v>
      </c>
      <c r="F817">
        <v>24</v>
      </c>
      <c r="G817">
        <v>2.6</v>
      </c>
      <c r="H817">
        <v>13</v>
      </c>
      <c r="I817" t="s">
        <v>93</v>
      </c>
    </row>
    <row r="818" spans="1:9">
      <c r="A818">
        <v>100817</v>
      </c>
      <c r="B818" t="s">
        <v>205</v>
      </c>
      <c r="C818" t="s">
        <v>95</v>
      </c>
      <c r="D818">
        <v>0</v>
      </c>
      <c r="E818">
        <v>172611</v>
      </c>
      <c r="F818">
        <v>26</v>
      </c>
      <c r="G818">
        <v>4.2</v>
      </c>
      <c r="H818">
        <v>11</v>
      </c>
      <c r="I818" t="s">
        <v>50</v>
      </c>
    </row>
    <row r="819" spans="1:9">
      <c r="A819">
        <v>100818</v>
      </c>
      <c r="B819" t="s">
        <v>276</v>
      </c>
      <c r="C819" t="s">
        <v>92</v>
      </c>
      <c r="D819">
        <v>0</v>
      </c>
      <c r="E819">
        <v>77168</v>
      </c>
      <c r="F819">
        <v>15</v>
      </c>
      <c r="G819">
        <v>4</v>
      </c>
      <c r="H819">
        <v>15</v>
      </c>
      <c r="I819" t="s">
        <v>50</v>
      </c>
    </row>
    <row r="820" spans="1:9">
      <c r="A820">
        <v>100819</v>
      </c>
      <c r="B820" t="s">
        <v>212</v>
      </c>
      <c r="C820" t="s">
        <v>107</v>
      </c>
      <c r="D820">
        <v>0</v>
      </c>
      <c r="E820">
        <v>59138</v>
      </c>
      <c r="F820">
        <v>24</v>
      </c>
      <c r="G820">
        <v>1.9</v>
      </c>
      <c r="H820">
        <v>5</v>
      </c>
      <c r="I820" t="s">
        <v>93</v>
      </c>
    </row>
    <row r="821" spans="1:9">
      <c r="A821">
        <v>100820</v>
      </c>
      <c r="B821" t="s">
        <v>163</v>
      </c>
      <c r="C821" t="s">
        <v>92</v>
      </c>
      <c r="D821">
        <v>120000</v>
      </c>
      <c r="E821">
        <v>167807</v>
      </c>
      <c r="F821">
        <v>30</v>
      </c>
      <c r="G821">
        <v>2.2999999999999998</v>
      </c>
      <c r="H821">
        <v>5</v>
      </c>
      <c r="I821" t="s">
        <v>50</v>
      </c>
    </row>
    <row r="822" spans="1:9">
      <c r="A822">
        <v>100821</v>
      </c>
      <c r="B822" t="s">
        <v>160</v>
      </c>
      <c r="C822" t="s">
        <v>107</v>
      </c>
      <c r="D822">
        <v>150000</v>
      </c>
      <c r="E822">
        <v>114760</v>
      </c>
      <c r="F822">
        <v>24</v>
      </c>
      <c r="G822">
        <v>4.2</v>
      </c>
      <c r="H822">
        <v>14</v>
      </c>
      <c r="I822" t="s">
        <v>50</v>
      </c>
    </row>
    <row r="823" spans="1:9">
      <c r="A823">
        <v>100822</v>
      </c>
      <c r="B823" t="s">
        <v>222</v>
      </c>
      <c r="C823" t="s">
        <v>107</v>
      </c>
      <c r="D823">
        <v>75000</v>
      </c>
      <c r="E823">
        <v>104218</v>
      </c>
      <c r="F823">
        <v>25</v>
      </c>
      <c r="G823">
        <v>3.1</v>
      </c>
      <c r="H823">
        <v>11</v>
      </c>
      <c r="I823" t="s">
        <v>50</v>
      </c>
    </row>
    <row r="824" spans="1:9">
      <c r="A824">
        <v>100823</v>
      </c>
      <c r="B824" t="s">
        <v>150</v>
      </c>
      <c r="C824" t="s">
        <v>107</v>
      </c>
      <c r="D824">
        <v>75000</v>
      </c>
      <c r="E824">
        <v>90124</v>
      </c>
      <c r="F824">
        <v>30</v>
      </c>
      <c r="G824">
        <v>4.0999999999999996</v>
      </c>
      <c r="H824">
        <v>12</v>
      </c>
      <c r="I824" t="s">
        <v>93</v>
      </c>
    </row>
    <row r="825" spans="1:9">
      <c r="A825">
        <v>100824</v>
      </c>
      <c r="B825" t="s">
        <v>258</v>
      </c>
      <c r="C825" t="s">
        <v>111</v>
      </c>
      <c r="D825">
        <v>75000</v>
      </c>
      <c r="E825">
        <v>146203</v>
      </c>
      <c r="F825">
        <v>16</v>
      </c>
      <c r="G825">
        <v>5</v>
      </c>
      <c r="H825">
        <v>1</v>
      </c>
      <c r="I825" t="s">
        <v>93</v>
      </c>
    </row>
    <row r="826" spans="1:9">
      <c r="A826">
        <v>100825</v>
      </c>
      <c r="B826" t="s">
        <v>266</v>
      </c>
      <c r="C826" t="s">
        <v>111</v>
      </c>
      <c r="D826">
        <v>120000</v>
      </c>
      <c r="E826">
        <v>129223</v>
      </c>
      <c r="F826">
        <v>16</v>
      </c>
      <c r="G826">
        <v>4.2</v>
      </c>
      <c r="H826">
        <v>11</v>
      </c>
      <c r="I826" t="s">
        <v>50</v>
      </c>
    </row>
    <row r="827" spans="1:9">
      <c r="A827">
        <v>100826</v>
      </c>
      <c r="B827" t="s">
        <v>312</v>
      </c>
      <c r="C827" t="s">
        <v>92</v>
      </c>
      <c r="D827">
        <v>75000</v>
      </c>
      <c r="E827">
        <v>139018</v>
      </c>
      <c r="F827">
        <v>16</v>
      </c>
      <c r="G827">
        <v>1.5</v>
      </c>
      <c r="H827">
        <v>9</v>
      </c>
      <c r="I827" t="s">
        <v>93</v>
      </c>
    </row>
    <row r="828" spans="1:9">
      <c r="A828">
        <v>100827</v>
      </c>
      <c r="B828" t="s">
        <v>347</v>
      </c>
      <c r="C828" t="s">
        <v>95</v>
      </c>
      <c r="D828">
        <v>100000</v>
      </c>
      <c r="E828">
        <v>64009</v>
      </c>
      <c r="F828">
        <v>20</v>
      </c>
      <c r="G828">
        <v>2.7</v>
      </c>
      <c r="H828">
        <v>14</v>
      </c>
      <c r="I828" t="s">
        <v>50</v>
      </c>
    </row>
    <row r="829" spans="1:9">
      <c r="A829">
        <v>100828</v>
      </c>
      <c r="B829" t="s">
        <v>178</v>
      </c>
      <c r="C829" t="s">
        <v>111</v>
      </c>
      <c r="D829">
        <v>50000</v>
      </c>
      <c r="E829">
        <v>31288</v>
      </c>
      <c r="F829">
        <v>25</v>
      </c>
      <c r="G829">
        <v>1.8</v>
      </c>
      <c r="H829">
        <v>6</v>
      </c>
      <c r="I829" t="s">
        <v>93</v>
      </c>
    </row>
    <row r="830" spans="1:9">
      <c r="A830">
        <v>100829</v>
      </c>
      <c r="B830" t="s">
        <v>156</v>
      </c>
      <c r="C830" t="s">
        <v>107</v>
      </c>
      <c r="D830">
        <v>50000</v>
      </c>
      <c r="E830">
        <v>61658</v>
      </c>
      <c r="F830">
        <v>27</v>
      </c>
      <c r="G830">
        <v>1.9</v>
      </c>
      <c r="H830">
        <v>12</v>
      </c>
      <c r="I830" t="s">
        <v>50</v>
      </c>
    </row>
    <row r="831" spans="1:9">
      <c r="A831">
        <v>100830</v>
      </c>
      <c r="B831" t="s">
        <v>294</v>
      </c>
      <c r="C831" t="s">
        <v>111</v>
      </c>
      <c r="D831">
        <v>120000</v>
      </c>
      <c r="E831">
        <v>68894</v>
      </c>
      <c r="F831">
        <v>30</v>
      </c>
      <c r="G831">
        <v>2.9</v>
      </c>
      <c r="H831">
        <v>4</v>
      </c>
      <c r="I831" t="s">
        <v>93</v>
      </c>
    </row>
    <row r="832" spans="1:9">
      <c r="A832">
        <v>100831</v>
      </c>
      <c r="B832" t="s">
        <v>312</v>
      </c>
      <c r="C832" t="s">
        <v>92</v>
      </c>
      <c r="D832">
        <v>150000</v>
      </c>
      <c r="E832">
        <v>37265</v>
      </c>
      <c r="F832">
        <v>18</v>
      </c>
      <c r="G832">
        <v>1.5</v>
      </c>
      <c r="H832">
        <v>14</v>
      </c>
      <c r="I832" t="s">
        <v>93</v>
      </c>
    </row>
    <row r="833" spans="1:9">
      <c r="A833">
        <v>100832</v>
      </c>
      <c r="B833" t="s">
        <v>278</v>
      </c>
      <c r="C833" t="s">
        <v>111</v>
      </c>
      <c r="D833">
        <v>100000</v>
      </c>
      <c r="E833">
        <v>149830</v>
      </c>
      <c r="F833">
        <v>28</v>
      </c>
      <c r="G833">
        <v>3.9</v>
      </c>
      <c r="H833">
        <v>8</v>
      </c>
      <c r="I833" t="s">
        <v>93</v>
      </c>
    </row>
    <row r="834" spans="1:9">
      <c r="A834">
        <v>100833</v>
      </c>
      <c r="B834" t="s">
        <v>350</v>
      </c>
      <c r="C834" t="s">
        <v>111</v>
      </c>
      <c r="D834">
        <v>100000</v>
      </c>
      <c r="E834">
        <v>75239</v>
      </c>
      <c r="F834">
        <v>19</v>
      </c>
      <c r="G834">
        <v>4.3</v>
      </c>
      <c r="H834">
        <v>2</v>
      </c>
      <c r="I834" t="s">
        <v>93</v>
      </c>
    </row>
    <row r="835" spans="1:9">
      <c r="A835">
        <v>100834</v>
      </c>
      <c r="B835" t="s">
        <v>131</v>
      </c>
      <c r="C835" t="s">
        <v>111</v>
      </c>
      <c r="D835">
        <v>50000</v>
      </c>
      <c r="E835">
        <v>34218</v>
      </c>
      <c r="F835">
        <v>22</v>
      </c>
      <c r="G835">
        <v>2.7</v>
      </c>
      <c r="H835">
        <v>7</v>
      </c>
      <c r="I835" t="s">
        <v>93</v>
      </c>
    </row>
    <row r="836" spans="1:9">
      <c r="A836">
        <v>100835</v>
      </c>
      <c r="B836" t="s">
        <v>312</v>
      </c>
      <c r="C836" t="s">
        <v>111</v>
      </c>
      <c r="D836">
        <v>50000</v>
      </c>
      <c r="E836">
        <v>44468</v>
      </c>
      <c r="F836">
        <v>25</v>
      </c>
      <c r="G836">
        <v>3.2</v>
      </c>
      <c r="H836">
        <v>9</v>
      </c>
      <c r="I836" t="s">
        <v>50</v>
      </c>
    </row>
    <row r="837" spans="1:9">
      <c r="A837">
        <v>100836</v>
      </c>
      <c r="B837" t="s">
        <v>125</v>
      </c>
      <c r="C837" t="s">
        <v>92</v>
      </c>
      <c r="D837">
        <v>50000</v>
      </c>
      <c r="E837">
        <v>74839</v>
      </c>
      <c r="F837">
        <v>26</v>
      </c>
      <c r="G837">
        <v>4.9000000000000004</v>
      </c>
      <c r="H837">
        <v>2</v>
      </c>
      <c r="I837" t="s">
        <v>93</v>
      </c>
    </row>
    <row r="838" spans="1:9">
      <c r="A838">
        <v>100837</v>
      </c>
      <c r="B838" t="s">
        <v>289</v>
      </c>
      <c r="C838" t="s">
        <v>107</v>
      </c>
      <c r="D838">
        <v>0</v>
      </c>
      <c r="E838">
        <v>66502</v>
      </c>
      <c r="F838">
        <v>22</v>
      </c>
      <c r="G838">
        <v>3.6</v>
      </c>
      <c r="H838">
        <v>2</v>
      </c>
      <c r="I838" t="s">
        <v>93</v>
      </c>
    </row>
    <row r="839" spans="1:9">
      <c r="A839">
        <v>100838</v>
      </c>
      <c r="B839" t="s">
        <v>158</v>
      </c>
      <c r="C839" t="s">
        <v>107</v>
      </c>
      <c r="D839">
        <v>120000</v>
      </c>
      <c r="E839">
        <v>122929</v>
      </c>
      <c r="F839">
        <v>22</v>
      </c>
      <c r="G839">
        <v>3.2</v>
      </c>
      <c r="H839">
        <v>9</v>
      </c>
      <c r="I839" t="s">
        <v>93</v>
      </c>
    </row>
    <row r="840" spans="1:9">
      <c r="A840">
        <v>100839</v>
      </c>
      <c r="B840" t="s">
        <v>227</v>
      </c>
      <c r="C840" t="s">
        <v>107</v>
      </c>
      <c r="D840">
        <v>120000</v>
      </c>
      <c r="E840">
        <v>140050</v>
      </c>
      <c r="F840">
        <v>24</v>
      </c>
      <c r="G840">
        <v>3.9</v>
      </c>
      <c r="H840">
        <v>12</v>
      </c>
      <c r="I840" t="s">
        <v>50</v>
      </c>
    </row>
    <row r="841" spans="1:9">
      <c r="A841">
        <v>100840</v>
      </c>
      <c r="B841" t="s">
        <v>120</v>
      </c>
      <c r="C841" t="s">
        <v>111</v>
      </c>
      <c r="D841">
        <v>0</v>
      </c>
      <c r="E841">
        <v>136932</v>
      </c>
      <c r="F841">
        <v>23</v>
      </c>
      <c r="G841">
        <v>3.1</v>
      </c>
      <c r="H841">
        <v>6</v>
      </c>
      <c r="I841" t="s">
        <v>93</v>
      </c>
    </row>
    <row r="842" spans="1:9">
      <c r="A842">
        <v>100841</v>
      </c>
      <c r="B842" t="s">
        <v>346</v>
      </c>
      <c r="C842" t="s">
        <v>107</v>
      </c>
      <c r="D842">
        <v>120000</v>
      </c>
      <c r="E842">
        <v>147247</v>
      </c>
      <c r="F842">
        <v>29</v>
      </c>
      <c r="G842">
        <v>5</v>
      </c>
      <c r="H842">
        <v>2</v>
      </c>
      <c r="I842" t="s">
        <v>93</v>
      </c>
    </row>
    <row r="843" spans="1:9">
      <c r="A843">
        <v>100842</v>
      </c>
      <c r="B843" t="s">
        <v>272</v>
      </c>
      <c r="C843" t="s">
        <v>92</v>
      </c>
      <c r="D843">
        <v>150000</v>
      </c>
      <c r="E843">
        <v>65528</v>
      </c>
      <c r="F843">
        <v>26</v>
      </c>
      <c r="G843">
        <v>2.7</v>
      </c>
      <c r="H843">
        <v>7</v>
      </c>
      <c r="I843" t="s">
        <v>93</v>
      </c>
    </row>
    <row r="844" spans="1:9">
      <c r="A844">
        <v>100843</v>
      </c>
      <c r="B844" t="s">
        <v>103</v>
      </c>
      <c r="C844" t="s">
        <v>107</v>
      </c>
      <c r="D844">
        <v>50000</v>
      </c>
      <c r="E844">
        <v>122843</v>
      </c>
      <c r="F844">
        <v>23</v>
      </c>
      <c r="G844">
        <v>4</v>
      </c>
      <c r="H844">
        <v>9</v>
      </c>
      <c r="I844" t="s">
        <v>93</v>
      </c>
    </row>
    <row r="845" spans="1:9">
      <c r="A845">
        <v>100844</v>
      </c>
      <c r="B845" t="s">
        <v>239</v>
      </c>
      <c r="C845" t="s">
        <v>95</v>
      </c>
      <c r="D845">
        <v>50000</v>
      </c>
      <c r="E845">
        <v>88228</v>
      </c>
      <c r="F845">
        <v>23</v>
      </c>
      <c r="G845">
        <v>4.0999999999999996</v>
      </c>
      <c r="H845">
        <v>4</v>
      </c>
      <c r="I845" t="s">
        <v>93</v>
      </c>
    </row>
    <row r="846" spans="1:9">
      <c r="A846">
        <v>100845</v>
      </c>
      <c r="B846" t="s">
        <v>196</v>
      </c>
      <c r="C846" t="s">
        <v>92</v>
      </c>
      <c r="D846">
        <v>100000</v>
      </c>
      <c r="E846">
        <v>169611</v>
      </c>
      <c r="F846">
        <v>29</v>
      </c>
      <c r="G846">
        <v>3.6</v>
      </c>
      <c r="H846">
        <v>1</v>
      </c>
      <c r="I846" t="s">
        <v>93</v>
      </c>
    </row>
    <row r="847" spans="1:9">
      <c r="A847">
        <v>100846</v>
      </c>
      <c r="B847" t="s">
        <v>316</v>
      </c>
      <c r="C847" t="s">
        <v>107</v>
      </c>
      <c r="D847">
        <v>120000</v>
      </c>
      <c r="E847">
        <v>56351</v>
      </c>
      <c r="F847">
        <v>19</v>
      </c>
      <c r="G847">
        <v>2.5</v>
      </c>
      <c r="H847">
        <v>1</v>
      </c>
      <c r="I847" t="s">
        <v>93</v>
      </c>
    </row>
    <row r="848" spans="1:9">
      <c r="A848">
        <v>100847</v>
      </c>
      <c r="B848" t="s">
        <v>234</v>
      </c>
      <c r="C848" t="s">
        <v>95</v>
      </c>
      <c r="D848">
        <v>100000</v>
      </c>
      <c r="E848">
        <v>50534</v>
      </c>
      <c r="F848">
        <v>17</v>
      </c>
      <c r="G848">
        <v>2.1</v>
      </c>
      <c r="H848">
        <v>5</v>
      </c>
      <c r="I848" t="s">
        <v>50</v>
      </c>
    </row>
    <row r="849" spans="1:9">
      <c r="A849">
        <v>100848</v>
      </c>
      <c r="B849" t="s">
        <v>230</v>
      </c>
      <c r="C849" t="s">
        <v>111</v>
      </c>
      <c r="D849">
        <v>150000</v>
      </c>
      <c r="E849">
        <v>48246</v>
      </c>
      <c r="F849">
        <v>24</v>
      </c>
      <c r="G849">
        <v>2.5</v>
      </c>
      <c r="H849">
        <v>12</v>
      </c>
      <c r="I849" t="s">
        <v>93</v>
      </c>
    </row>
    <row r="850" spans="1:9">
      <c r="A850">
        <v>100849</v>
      </c>
      <c r="B850" t="s">
        <v>150</v>
      </c>
      <c r="C850" t="s">
        <v>95</v>
      </c>
      <c r="D850">
        <v>0</v>
      </c>
      <c r="E850">
        <v>116434</v>
      </c>
      <c r="F850">
        <v>24</v>
      </c>
      <c r="G850">
        <v>4.5999999999999996</v>
      </c>
      <c r="H850">
        <v>1</v>
      </c>
      <c r="I850" t="s">
        <v>93</v>
      </c>
    </row>
    <row r="851" spans="1:9">
      <c r="A851">
        <v>100850</v>
      </c>
      <c r="B851" t="s">
        <v>349</v>
      </c>
      <c r="C851" t="s">
        <v>111</v>
      </c>
      <c r="D851">
        <v>75000</v>
      </c>
      <c r="E851">
        <v>58762</v>
      </c>
      <c r="F851">
        <v>23</v>
      </c>
      <c r="G851">
        <v>2.2999999999999998</v>
      </c>
      <c r="H851">
        <v>2</v>
      </c>
      <c r="I851" t="s">
        <v>93</v>
      </c>
    </row>
    <row r="852" spans="1:9">
      <c r="A852">
        <v>100851</v>
      </c>
      <c r="B852" t="s">
        <v>94</v>
      </c>
      <c r="C852" t="s">
        <v>111</v>
      </c>
      <c r="D852">
        <v>100000</v>
      </c>
      <c r="E852">
        <v>62564</v>
      </c>
      <c r="F852">
        <v>27</v>
      </c>
      <c r="G852">
        <v>3.4</v>
      </c>
      <c r="H852">
        <v>5</v>
      </c>
      <c r="I852" t="s">
        <v>93</v>
      </c>
    </row>
    <row r="853" spans="1:9">
      <c r="A853">
        <v>100852</v>
      </c>
      <c r="B853" t="s">
        <v>267</v>
      </c>
      <c r="C853" t="s">
        <v>107</v>
      </c>
      <c r="D853">
        <v>0</v>
      </c>
      <c r="E853">
        <v>103945</v>
      </c>
      <c r="F853">
        <v>28</v>
      </c>
      <c r="G853">
        <v>3</v>
      </c>
      <c r="H853">
        <v>6</v>
      </c>
      <c r="I853" t="s">
        <v>93</v>
      </c>
    </row>
    <row r="854" spans="1:9">
      <c r="A854">
        <v>100853</v>
      </c>
      <c r="B854" t="s">
        <v>131</v>
      </c>
      <c r="C854" t="s">
        <v>111</v>
      </c>
      <c r="D854">
        <v>150000</v>
      </c>
      <c r="E854">
        <v>104688</v>
      </c>
      <c r="F854">
        <v>21</v>
      </c>
      <c r="G854">
        <v>3.3</v>
      </c>
      <c r="H854">
        <v>15</v>
      </c>
      <c r="I854" t="s">
        <v>50</v>
      </c>
    </row>
    <row r="855" spans="1:9">
      <c r="A855">
        <v>100854</v>
      </c>
      <c r="B855" t="s">
        <v>199</v>
      </c>
      <c r="C855" t="s">
        <v>92</v>
      </c>
      <c r="D855">
        <v>0</v>
      </c>
      <c r="E855">
        <v>118573</v>
      </c>
      <c r="F855">
        <v>25</v>
      </c>
      <c r="G855">
        <v>3.1</v>
      </c>
      <c r="H855">
        <v>2</v>
      </c>
      <c r="I855" t="s">
        <v>93</v>
      </c>
    </row>
    <row r="856" spans="1:9">
      <c r="A856">
        <v>100855</v>
      </c>
      <c r="B856" t="s">
        <v>297</v>
      </c>
      <c r="C856" t="s">
        <v>95</v>
      </c>
      <c r="D856">
        <v>120000</v>
      </c>
      <c r="E856">
        <v>113651</v>
      </c>
      <c r="F856">
        <v>20</v>
      </c>
      <c r="G856">
        <v>3.2</v>
      </c>
      <c r="H856">
        <v>14</v>
      </c>
      <c r="I856" t="s">
        <v>93</v>
      </c>
    </row>
    <row r="857" spans="1:9">
      <c r="A857">
        <v>100856</v>
      </c>
      <c r="B857" t="s">
        <v>308</v>
      </c>
      <c r="C857" t="s">
        <v>95</v>
      </c>
      <c r="D857">
        <v>100000</v>
      </c>
      <c r="E857">
        <v>34176</v>
      </c>
      <c r="F857">
        <v>26</v>
      </c>
      <c r="G857">
        <v>2</v>
      </c>
      <c r="H857">
        <v>9</v>
      </c>
      <c r="I857" t="s">
        <v>93</v>
      </c>
    </row>
    <row r="858" spans="1:9">
      <c r="A858">
        <v>100857</v>
      </c>
      <c r="B858" t="s">
        <v>144</v>
      </c>
      <c r="C858" t="s">
        <v>111</v>
      </c>
      <c r="D858">
        <v>0</v>
      </c>
      <c r="E858">
        <v>53262</v>
      </c>
      <c r="F858">
        <v>24</v>
      </c>
      <c r="G858">
        <v>2.6</v>
      </c>
      <c r="H858">
        <v>8</v>
      </c>
      <c r="I858" t="s">
        <v>50</v>
      </c>
    </row>
    <row r="859" spans="1:9">
      <c r="A859">
        <v>100858</v>
      </c>
      <c r="B859" t="s">
        <v>326</v>
      </c>
      <c r="C859" t="s">
        <v>107</v>
      </c>
      <c r="D859">
        <v>75000</v>
      </c>
      <c r="E859">
        <v>92083</v>
      </c>
      <c r="F859">
        <v>21</v>
      </c>
      <c r="G859">
        <v>3.6</v>
      </c>
      <c r="H859">
        <v>15</v>
      </c>
      <c r="I859" t="s">
        <v>50</v>
      </c>
    </row>
    <row r="860" spans="1:9">
      <c r="A860">
        <v>100859</v>
      </c>
      <c r="B860" t="s">
        <v>119</v>
      </c>
      <c r="C860" t="s">
        <v>107</v>
      </c>
      <c r="D860">
        <v>75000</v>
      </c>
      <c r="E860">
        <v>104917</v>
      </c>
      <c r="F860">
        <v>29</v>
      </c>
      <c r="G860">
        <v>2.8</v>
      </c>
      <c r="H860">
        <v>7</v>
      </c>
      <c r="I860" t="s">
        <v>93</v>
      </c>
    </row>
    <row r="861" spans="1:9">
      <c r="A861">
        <v>100860</v>
      </c>
      <c r="B861" t="s">
        <v>217</v>
      </c>
      <c r="C861" t="s">
        <v>107</v>
      </c>
      <c r="D861">
        <v>100000</v>
      </c>
      <c r="E861">
        <v>131330</v>
      </c>
      <c r="F861">
        <v>28</v>
      </c>
      <c r="G861">
        <v>4.8</v>
      </c>
      <c r="H861">
        <v>13</v>
      </c>
      <c r="I861" t="s">
        <v>93</v>
      </c>
    </row>
    <row r="862" spans="1:9">
      <c r="A862">
        <v>100861</v>
      </c>
      <c r="B862" t="s">
        <v>183</v>
      </c>
      <c r="C862" t="s">
        <v>95</v>
      </c>
      <c r="D862">
        <v>0</v>
      </c>
      <c r="E862">
        <v>107790</v>
      </c>
      <c r="F862">
        <v>19</v>
      </c>
      <c r="G862">
        <v>2.5</v>
      </c>
      <c r="H862">
        <v>15</v>
      </c>
      <c r="I862" t="s">
        <v>93</v>
      </c>
    </row>
    <row r="863" spans="1:9">
      <c r="A863">
        <v>100862</v>
      </c>
      <c r="B863" t="s">
        <v>345</v>
      </c>
      <c r="C863" t="s">
        <v>92</v>
      </c>
      <c r="D863">
        <v>0</v>
      </c>
      <c r="E863">
        <v>85979</v>
      </c>
      <c r="F863">
        <v>15</v>
      </c>
      <c r="G863">
        <v>4.0999999999999996</v>
      </c>
      <c r="H863">
        <v>5</v>
      </c>
      <c r="I863" t="s">
        <v>93</v>
      </c>
    </row>
    <row r="864" spans="1:9">
      <c r="A864">
        <v>100863</v>
      </c>
      <c r="B864" t="s">
        <v>263</v>
      </c>
      <c r="C864" t="s">
        <v>92</v>
      </c>
      <c r="D864">
        <v>50000</v>
      </c>
      <c r="E864">
        <v>86200</v>
      </c>
      <c r="F864">
        <v>26</v>
      </c>
      <c r="G864">
        <v>4.8</v>
      </c>
      <c r="H864">
        <v>12</v>
      </c>
      <c r="I864" t="s">
        <v>50</v>
      </c>
    </row>
    <row r="865" spans="1:9">
      <c r="A865">
        <v>100864</v>
      </c>
      <c r="B865" t="s">
        <v>104</v>
      </c>
      <c r="C865" t="s">
        <v>111</v>
      </c>
      <c r="D865">
        <v>50000</v>
      </c>
      <c r="E865">
        <v>63003</v>
      </c>
      <c r="F865">
        <v>28</v>
      </c>
      <c r="G865">
        <v>3.2</v>
      </c>
      <c r="H865">
        <v>5</v>
      </c>
      <c r="I865" t="s">
        <v>93</v>
      </c>
    </row>
    <row r="866" spans="1:9">
      <c r="A866">
        <v>100865</v>
      </c>
      <c r="B866" t="s">
        <v>123</v>
      </c>
      <c r="C866" t="s">
        <v>107</v>
      </c>
      <c r="D866">
        <v>0</v>
      </c>
      <c r="E866">
        <v>134837</v>
      </c>
      <c r="F866">
        <v>22</v>
      </c>
      <c r="G866">
        <v>4.5999999999999996</v>
      </c>
      <c r="H866">
        <v>8</v>
      </c>
      <c r="I866" t="s">
        <v>93</v>
      </c>
    </row>
    <row r="867" spans="1:9">
      <c r="A867">
        <v>100866</v>
      </c>
      <c r="B867" t="s">
        <v>214</v>
      </c>
      <c r="C867" t="s">
        <v>92</v>
      </c>
      <c r="D867">
        <v>100000</v>
      </c>
      <c r="E867">
        <v>97640</v>
      </c>
      <c r="F867">
        <v>15</v>
      </c>
      <c r="G867">
        <v>2.2000000000000002</v>
      </c>
      <c r="H867">
        <v>12</v>
      </c>
      <c r="I867" t="s">
        <v>93</v>
      </c>
    </row>
    <row r="868" spans="1:9">
      <c r="A868">
        <v>100867</v>
      </c>
      <c r="B868" t="s">
        <v>184</v>
      </c>
      <c r="C868" t="s">
        <v>107</v>
      </c>
      <c r="D868">
        <v>150000</v>
      </c>
      <c r="E868">
        <v>41641</v>
      </c>
      <c r="F868">
        <v>26</v>
      </c>
      <c r="G868">
        <v>4.2</v>
      </c>
      <c r="H868">
        <v>2</v>
      </c>
      <c r="I868" t="s">
        <v>93</v>
      </c>
    </row>
    <row r="869" spans="1:9">
      <c r="A869">
        <v>100868</v>
      </c>
      <c r="B869" t="s">
        <v>218</v>
      </c>
      <c r="C869" t="s">
        <v>107</v>
      </c>
      <c r="D869">
        <v>150000</v>
      </c>
      <c r="E869">
        <v>68121</v>
      </c>
      <c r="F869">
        <v>25</v>
      </c>
      <c r="G869">
        <v>1.6</v>
      </c>
      <c r="H869">
        <v>1</v>
      </c>
      <c r="I869" t="s">
        <v>93</v>
      </c>
    </row>
    <row r="870" spans="1:9">
      <c r="A870">
        <v>100869</v>
      </c>
      <c r="B870" t="s">
        <v>265</v>
      </c>
      <c r="C870" t="s">
        <v>111</v>
      </c>
      <c r="D870">
        <v>120000</v>
      </c>
      <c r="E870">
        <v>90767</v>
      </c>
      <c r="F870">
        <v>16</v>
      </c>
      <c r="G870">
        <v>2.6</v>
      </c>
      <c r="H870">
        <v>4</v>
      </c>
      <c r="I870" t="s">
        <v>93</v>
      </c>
    </row>
    <row r="871" spans="1:9">
      <c r="A871">
        <v>100870</v>
      </c>
      <c r="B871" t="s">
        <v>197</v>
      </c>
      <c r="C871" t="s">
        <v>111</v>
      </c>
      <c r="D871">
        <v>120000</v>
      </c>
      <c r="E871">
        <v>31273</v>
      </c>
      <c r="F871">
        <v>28</v>
      </c>
      <c r="G871">
        <v>3.2</v>
      </c>
      <c r="H871">
        <v>8</v>
      </c>
      <c r="I871" t="s">
        <v>93</v>
      </c>
    </row>
    <row r="872" spans="1:9">
      <c r="A872">
        <v>100871</v>
      </c>
      <c r="B872" t="s">
        <v>230</v>
      </c>
      <c r="C872" t="s">
        <v>92</v>
      </c>
      <c r="D872">
        <v>100000</v>
      </c>
      <c r="E872">
        <v>149298</v>
      </c>
      <c r="F872">
        <v>23</v>
      </c>
      <c r="G872">
        <v>1.7</v>
      </c>
      <c r="H872">
        <v>4</v>
      </c>
      <c r="I872" t="s">
        <v>93</v>
      </c>
    </row>
    <row r="873" spans="1:9">
      <c r="A873">
        <v>100872</v>
      </c>
      <c r="B873" t="s">
        <v>169</v>
      </c>
      <c r="C873" t="s">
        <v>95</v>
      </c>
      <c r="D873">
        <v>150000</v>
      </c>
      <c r="E873">
        <v>156167</v>
      </c>
      <c r="F873">
        <v>28</v>
      </c>
      <c r="G873">
        <v>1.9</v>
      </c>
      <c r="H873">
        <v>6</v>
      </c>
      <c r="I873" t="s">
        <v>93</v>
      </c>
    </row>
    <row r="874" spans="1:9">
      <c r="A874">
        <v>100873</v>
      </c>
      <c r="B874" t="s">
        <v>106</v>
      </c>
      <c r="C874" t="s">
        <v>107</v>
      </c>
      <c r="D874">
        <v>100000</v>
      </c>
      <c r="E874">
        <v>165813</v>
      </c>
      <c r="F874">
        <v>19</v>
      </c>
      <c r="G874">
        <v>4.7</v>
      </c>
      <c r="H874">
        <v>6</v>
      </c>
      <c r="I874" t="s">
        <v>50</v>
      </c>
    </row>
    <row r="875" spans="1:9">
      <c r="A875">
        <v>100874</v>
      </c>
      <c r="B875" t="s">
        <v>206</v>
      </c>
      <c r="C875" t="s">
        <v>111</v>
      </c>
      <c r="D875">
        <v>75000</v>
      </c>
      <c r="E875">
        <v>74996</v>
      </c>
      <c r="F875">
        <v>24</v>
      </c>
      <c r="G875">
        <v>4.7</v>
      </c>
      <c r="H875">
        <v>6</v>
      </c>
      <c r="I875" t="s">
        <v>93</v>
      </c>
    </row>
    <row r="876" spans="1:9">
      <c r="A876">
        <v>100875</v>
      </c>
      <c r="B876" t="s">
        <v>177</v>
      </c>
      <c r="C876" t="s">
        <v>92</v>
      </c>
      <c r="D876">
        <v>50000</v>
      </c>
      <c r="E876">
        <v>97866</v>
      </c>
      <c r="F876">
        <v>23</v>
      </c>
      <c r="G876">
        <v>3.3</v>
      </c>
      <c r="H876">
        <v>5</v>
      </c>
      <c r="I876" t="s">
        <v>93</v>
      </c>
    </row>
    <row r="877" spans="1:9">
      <c r="A877">
        <v>100876</v>
      </c>
      <c r="B877" t="s">
        <v>97</v>
      </c>
      <c r="C877" t="s">
        <v>92</v>
      </c>
      <c r="D877">
        <v>50000</v>
      </c>
      <c r="E877">
        <v>177530</v>
      </c>
      <c r="F877">
        <v>18</v>
      </c>
      <c r="G877">
        <v>4.8</v>
      </c>
      <c r="H877">
        <v>5</v>
      </c>
      <c r="I877" t="s">
        <v>93</v>
      </c>
    </row>
    <row r="878" spans="1:9">
      <c r="A878">
        <v>100877</v>
      </c>
      <c r="B878" t="s">
        <v>282</v>
      </c>
      <c r="C878" t="s">
        <v>107</v>
      </c>
      <c r="D878">
        <v>120000</v>
      </c>
      <c r="E878">
        <v>155941</v>
      </c>
      <c r="F878">
        <v>28</v>
      </c>
      <c r="G878">
        <v>2.1</v>
      </c>
      <c r="H878">
        <v>4</v>
      </c>
      <c r="I878" t="s">
        <v>93</v>
      </c>
    </row>
    <row r="879" spans="1:9">
      <c r="A879">
        <v>100878</v>
      </c>
      <c r="B879" t="s">
        <v>325</v>
      </c>
      <c r="C879" t="s">
        <v>107</v>
      </c>
      <c r="D879">
        <v>75000</v>
      </c>
      <c r="E879">
        <v>91333</v>
      </c>
      <c r="F879">
        <v>16</v>
      </c>
      <c r="G879">
        <v>2.6</v>
      </c>
      <c r="H879">
        <v>2</v>
      </c>
      <c r="I879" t="s">
        <v>93</v>
      </c>
    </row>
    <row r="880" spans="1:9">
      <c r="A880">
        <v>100879</v>
      </c>
      <c r="B880" t="s">
        <v>301</v>
      </c>
      <c r="C880" t="s">
        <v>95</v>
      </c>
      <c r="D880">
        <v>150000</v>
      </c>
      <c r="E880">
        <v>81130</v>
      </c>
      <c r="F880">
        <v>16</v>
      </c>
      <c r="G880">
        <v>3.2</v>
      </c>
      <c r="H880">
        <v>1</v>
      </c>
      <c r="I880" t="s">
        <v>93</v>
      </c>
    </row>
    <row r="881" spans="1:9">
      <c r="A881">
        <v>100880</v>
      </c>
      <c r="B881" t="s">
        <v>271</v>
      </c>
      <c r="C881" t="s">
        <v>107</v>
      </c>
      <c r="D881">
        <v>120000</v>
      </c>
      <c r="E881">
        <v>81566</v>
      </c>
      <c r="F881">
        <v>21</v>
      </c>
      <c r="G881">
        <v>2</v>
      </c>
      <c r="H881">
        <v>6</v>
      </c>
      <c r="I881" t="s">
        <v>50</v>
      </c>
    </row>
    <row r="882" spans="1:9">
      <c r="A882">
        <v>100881</v>
      </c>
      <c r="B882" t="s">
        <v>91</v>
      </c>
      <c r="C882" t="s">
        <v>107</v>
      </c>
      <c r="D882">
        <v>50000</v>
      </c>
      <c r="E882">
        <v>148781</v>
      </c>
      <c r="F882">
        <v>25</v>
      </c>
      <c r="G882">
        <v>2</v>
      </c>
      <c r="H882">
        <v>2</v>
      </c>
      <c r="I882" t="s">
        <v>93</v>
      </c>
    </row>
    <row r="883" spans="1:9">
      <c r="A883">
        <v>100882</v>
      </c>
      <c r="B883" t="s">
        <v>319</v>
      </c>
      <c r="C883" t="s">
        <v>95</v>
      </c>
      <c r="D883">
        <v>50000</v>
      </c>
      <c r="E883">
        <v>101740</v>
      </c>
      <c r="F883">
        <v>24</v>
      </c>
      <c r="G883">
        <v>3.8</v>
      </c>
      <c r="H883">
        <v>7</v>
      </c>
      <c r="I883" t="s">
        <v>93</v>
      </c>
    </row>
    <row r="884" spans="1:9">
      <c r="A884">
        <v>100883</v>
      </c>
      <c r="B884" t="s">
        <v>273</v>
      </c>
      <c r="C884" t="s">
        <v>107</v>
      </c>
      <c r="D884">
        <v>150000</v>
      </c>
      <c r="E884">
        <v>127492</v>
      </c>
      <c r="F884">
        <v>24</v>
      </c>
      <c r="G884">
        <v>3.3</v>
      </c>
      <c r="H884">
        <v>14</v>
      </c>
      <c r="I884" t="s">
        <v>50</v>
      </c>
    </row>
    <row r="885" spans="1:9">
      <c r="A885">
        <v>100884</v>
      </c>
      <c r="B885" t="s">
        <v>258</v>
      </c>
      <c r="C885" t="s">
        <v>95</v>
      </c>
      <c r="D885">
        <v>120000</v>
      </c>
      <c r="E885">
        <v>46729</v>
      </c>
      <c r="F885">
        <v>26</v>
      </c>
      <c r="G885">
        <v>2.7</v>
      </c>
      <c r="H885">
        <v>0</v>
      </c>
      <c r="I885" t="s">
        <v>50</v>
      </c>
    </row>
    <row r="886" spans="1:9">
      <c r="A886">
        <v>100885</v>
      </c>
      <c r="B886" t="s">
        <v>306</v>
      </c>
      <c r="C886" t="s">
        <v>92</v>
      </c>
      <c r="D886">
        <v>75000</v>
      </c>
      <c r="E886">
        <v>80368</v>
      </c>
      <c r="F886">
        <v>20</v>
      </c>
      <c r="G886">
        <v>3.7</v>
      </c>
      <c r="H886">
        <v>2</v>
      </c>
      <c r="I886" t="s">
        <v>93</v>
      </c>
    </row>
    <row r="887" spans="1:9">
      <c r="A887">
        <v>100886</v>
      </c>
      <c r="B887" t="s">
        <v>318</v>
      </c>
      <c r="C887" t="s">
        <v>111</v>
      </c>
      <c r="D887">
        <v>50000</v>
      </c>
      <c r="E887">
        <v>32001</v>
      </c>
      <c r="F887">
        <v>22</v>
      </c>
      <c r="G887">
        <v>4.9000000000000004</v>
      </c>
      <c r="H887">
        <v>8</v>
      </c>
      <c r="I887" t="s">
        <v>93</v>
      </c>
    </row>
    <row r="888" spans="1:9">
      <c r="A888">
        <v>100887</v>
      </c>
      <c r="B888" t="s">
        <v>275</v>
      </c>
      <c r="C888" t="s">
        <v>111</v>
      </c>
      <c r="D888">
        <v>100000</v>
      </c>
      <c r="E888">
        <v>52826</v>
      </c>
      <c r="F888">
        <v>15</v>
      </c>
      <c r="G888">
        <v>4.9000000000000004</v>
      </c>
      <c r="H888">
        <v>3</v>
      </c>
      <c r="I888" t="s">
        <v>93</v>
      </c>
    </row>
    <row r="889" spans="1:9">
      <c r="A889">
        <v>100888</v>
      </c>
      <c r="B889" t="s">
        <v>158</v>
      </c>
      <c r="C889" t="s">
        <v>111</v>
      </c>
      <c r="D889">
        <v>150000</v>
      </c>
      <c r="E889">
        <v>55989</v>
      </c>
      <c r="F889">
        <v>26</v>
      </c>
      <c r="G889">
        <v>4.8</v>
      </c>
      <c r="H889">
        <v>8</v>
      </c>
      <c r="I889" t="s">
        <v>93</v>
      </c>
    </row>
    <row r="890" spans="1:9">
      <c r="A890">
        <v>100889</v>
      </c>
      <c r="B890" t="s">
        <v>311</v>
      </c>
      <c r="C890" t="s">
        <v>92</v>
      </c>
      <c r="D890">
        <v>75000</v>
      </c>
      <c r="E890">
        <v>176967</v>
      </c>
      <c r="F890">
        <v>22</v>
      </c>
      <c r="G890">
        <v>1.7</v>
      </c>
      <c r="H890">
        <v>12</v>
      </c>
      <c r="I890" t="s">
        <v>93</v>
      </c>
    </row>
    <row r="891" spans="1:9">
      <c r="A891">
        <v>100890</v>
      </c>
      <c r="B891" t="s">
        <v>110</v>
      </c>
      <c r="C891" t="s">
        <v>95</v>
      </c>
      <c r="D891">
        <v>0</v>
      </c>
      <c r="E891">
        <v>97750</v>
      </c>
      <c r="F891">
        <v>24</v>
      </c>
      <c r="G891">
        <v>2</v>
      </c>
      <c r="H891">
        <v>1</v>
      </c>
      <c r="I891" t="s">
        <v>93</v>
      </c>
    </row>
    <row r="892" spans="1:9">
      <c r="A892">
        <v>100891</v>
      </c>
      <c r="B892" t="s">
        <v>266</v>
      </c>
      <c r="C892" t="s">
        <v>107</v>
      </c>
      <c r="D892">
        <v>0</v>
      </c>
      <c r="E892">
        <v>56059</v>
      </c>
      <c r="F892">
        <v>30</v>
      </c>
      <c r="G892">
        <v>3.6</v>
      </c>
      <c r="H892">
        <v>6</v>
      </c>
      <c r="I892" t="s">
        <v>93</v>
      </c>
    </row>
    <row r="893" spans="1:9">
      <c r="A893">
        <v>100892</v>
      </c>
      <c r="B893" t="s">
        <v>235</v>
      </c>
      <c r="C893" t="s">
        <v>111</v>
      </c>
      <c r="D893">
        <v>75000</v>
      </c>
      <c r="E893">
        <v>51434</v>
      </c>
      <c r="F893">
        <v>27</v>
      </c>
      <c r="G893">
        <v>1.7</v>
      </c>
      <c r="H893">
        <v>0</v>
      </c>
      <c r="I893" t="s">
        <v>93</v>
      </c>
    </row>
    <row r="894" spans="1:9">
      <c r="A894">
        <v>100893</v>
      </c>
      <c r="B894" t="s">
        <v>169</v>
      </c>
      <c r="C894" t="s">
        <v>111</v>
      </c>
      <c r="D894">
        <v>50000</v>
      </c>
      <c r="E894">
        <v>149410</v>
      </c>
      <c r="F894">
        <v>25</v>
      </c>
      <c r="G894">
        <v>3.7</v>
      </c>
      <c r="H894">
        <v>9</v>
      </c>
      <c r="I894" t="s">
        <v>93</v>
      </c>
    </row>
    <row r="895" spans="1:9">
      <c r="A895">
        <v>100894</v>
      </c>
      <c r="B895" t="s">
        <v>236</v>
      </c>
      <c r="C895" t="s">
        <v>107</v>
      </c>
      <c r="D895">
        <v>100000</v>
      </c>
      <c r="E895">
        <v>40184</v>
      </c>
      <c r="F895">
        <v>28</v>
      </c>
      <c r="G895">
        <v>2.5</v>
      </c>
      <c r="H895">
        <v>12</v>
      </c>
      <c r="I895" t="s">
        <v>93</v>
      </c>
    </row>
    <row r="896" spans="1:9">
      <c r="A896">
        <v>100895</v>
      </c>
      <c r="B896" t="s">
        <v>246</v>
      </c>
      <c r="C896" t="s">
        <v>95</v>
      </c>
      <c r="D896">
        <v>120000</v>
      </c>
      <c r="E896">
        <v>179902</v>
      </c>
      <c r="F896">
        <v>26</v>
      </c>
      <c r="G896">
        <v>2.6</v>
      </c>
      <c r="H896">
        <v>5</v>
      </c>
      <c r="I896" t="s">
        <v>50</v>
      </c>
    </row>
    <row r="897" spans="1:9">
      <c r="A897">
        <v>100896</v>
      </c>
      <c r="B897" t="s">
        <v>246</v>
      </c>
      <c r="C897" t="s">
        <v>111</v>
      </c>
      <c r="D897">
        <v>0</v>
      </c>
      <c r="E897">
        <v>50723</v>
      </c>
      <c r="F897">
        <v>23</v>
      </c>
      <c r="G897">
        <v>2.6</v>
      </c>
      <c r="H897">
        <v>11</v>
      </c>
      <c r="I897" t="s">
        <v>93</v>
      </c>
    </row>
    <row r="898" spans="1:9">
      <c r="A898">
        <v>100897</v>
      </c>
      <c r="B898" t="s">
        <v>172</v>
      </c>
      <c r="C898" t="s">
        <v>107</v>
      </c>
      <c r="D898">
        <v>100000</v>
      </c>
      <c r="E898">
        <v>105323</v>
      </c>
      <c r="F898">
        <v>19</v>
      </c>
      <c r="G898">
        <v>4.5999999999999996</v>
      </c>
      <c r="H898">
        <v>4</v>
      </c>
      <c r="I898" t="s">
        <v>93</v>
      </c>
    </row>
    <row r="899" spans="1:9">
      <c r="A899">
        <v>100898</v>
      </c>
      <c r="B899" t="s">
        <v>205</v>
      </c>
      <c r="C899" t="s">
        <v>107</v>
      </c>
      <c r="D899">
        <v>75000</v>
      </c>
      <c r="E899">
        <v>119427</v>
      </c>
      <c r="F899">
        <v>25</v>
      </c>
      <c r="G899">
        <v>3.5</v>
      </c>
      <c r="H899">
        <v>9</v>
      </c>
      <c r="I899" t="s">
        <v>93</v>
      </c>
    </row>
    <row r="900" spans="1:9">
      <c r="A900">
        <v>100899</v>
      </c>
      <c r="B900" t="s">
        <v>279</v>
      </c>
      <c r="C900" t="s">
        <v>95</v>
      </c>
      <c r="D900">
        <v>50000</v>
      </c>
      <c r="E900">
        <v>129639</v>
      </c>
      <c r="F900">
        <v>16</v>
      </c>
      <c r="G900">
        <v>4.5</v>
      </c>
      <c r="H900">
        <v>4</v>
      </c>
      <c r="I900" t="s">
        <v>93</v>
      </c>
    </row>
    <row r="901" spans="1:9">
      <c r="A901">
        <v>100900</v>
      </c>
      <c r="B901" t="s">
        <v>286</v>
      </c>
      <c r="C901" t="s">
        <v>111</v>
      </c>
      <c r="D901">
        <v>100000</v>
      </c>
      <c r="E901">
        <v>110423</v>
      </c>
      <c r="F901">
        <v>23</v>
      </c>
      <c r="G901">
        <v>1.7</v>
      </c>
      <c r="H901">
        <v>10</v>
      </c>
      <c r="I901" t="s">
        <v>93</v>
      </c>
    </row>
    <row r="902" spans="1:9">
      <c r="A902">
        <v>100901</v>
      </c>
      <c r="B902" t="s">
        <v>242</v>
      </c>
      <c r="C902" t="s">
        <v>92</v>
      </c>
      <c r="D902">
        <v>50000</v>
      </c>
      <c r="E902">
        <v>127395</v>
      </c>
      <c r="F902">
        <v>22</v>
      </c>
      <c r="G902">
        <v>5</v>
      </c>
      <c r="H902">
        <v>12</v>
      </c>
      <c r="I902" t="s">
        <v>93</v>
      </c>
    </row>
    <row r="903" spans="1:9">
      <c r="A903">
        <v>100902</v>
      </c>
      <c r="B903" t="s">
        <v>239</v>
      </c>
      <c r="C903" t="s">
        <v>107</v>
      </c>
      <c r="D903">
        <v>120000</v>
      </c>
      <c r="E903">
        <v>82879</v>
      </c>
      <c r="F903">
        <v>19</v>
      </c>
      <c r="G903">
        <v>2</v>
      </c>
      <c r="H903">
        <v>12</v>
      </c>
      <c r="I903" t="s">
        <v>93</v>
      </c>
    </row>
    <row r="904" spans="1:9">
      <c r="A904">
        <v>100903</v>
      </c>
      <c r="B904" t="s">
        <v>275</v>
      </c>
      <c r="C904" t="s">
        <v>95</v>
      </c>
      <c r="D904">
        <v>50000</v>
      </c>
      <c r="E904">
        <v>116649</v>
      </c>
      <c r="F904">
        <v>17</v>
      </c>
      <c r="G904">
        <v>3.9</v>
      </c>
      <c r="H904">
        <v>13</v>
      </c>
      <c r="I904" t="s">
        <v>93</v>
      </c>
    </row>
    <row r="905" spans="1:9">
      <c r="A905">
        <v>100904</v>
      </c>
      <c r="B905" t="s">
        <v>165</v>
      </c>
      <c r="C905" t="s">
        <v>92</v>
      </c>
      <c r="D905">
        <v>75000</v>
      </c>
      <c r="E905">
        <v>126859</v>
      </c>
      <c r="F905">
        <v>26</v>
      </c>
      <c r="G905">
        <v>3.1</v>
      </c>
      <c r="H905">
        <v>7</v>
      </c>
      <c r="I905" t="s">
        <v>93</v>
      </c>
    </row>
    <row r="906" spans="1:9">
      <c r="A906">
        <v>100905</v>
      </c>
      <c r="B906" t="s">
        <v>174</v>
      </c>
      <c r="C906" t="s">
        <v>92</v>
      </c>
      <c r="D906">
        <v>75000</v>
      </c>
      <c r="E906">
        <v>47997</v>
      </c>
      <c r="F906">
        <v>21</v>
      </c>
      <c r="G906">
        <v>3.3</v>
      </c>
      <c r="H906">
        <v>3</v>
      </c>
      <c r="I906" t="s">
        <v>93</v>
      </c>
    </row>
    <row r="907" spans="1:9">
      <c r="A907">
        <v>100906</v>
      </c>
      <c r="B907" t="s">
        <v>103</v>
      </c>
      <c r="C907" t="s">
        <v>95</v>
      </c>
      <c r="D907">
        <v>75000</v>
      </c>
      <c r="E907">
        <v>145895</v>
      </c>
      <c r="F907">
        <v>23</v>
      </c>
      <c r="G907">
        <v>3.1</v>
      </c>
      <c r="H907">
        <v>2</v>
      </c>
      <c r="I907" t="s">
        <v>93</v>
      </c>
    </row>
    <row r="908" spans="1:9">
      <c r="A908">
        <v>100907</v>
      </c>
      <c r="B908" t="s">
        <v>218</v>
      </c>
      <c r="C908" t="s">
        <v>95</v>
      </c>
      <c r="D908">
        <v>120000</v>
      </c>
      <c r="E908">
        <v>123968</v>
      </c>
      <c r="F908">
        <v>17</v>
      </c>
      <c r="G908">
        <v>4.7</v>
      </c>
      <c r="H908">
        <v>2</v>
      </c>
      <c r="I908" t="s">
        <v>93</v>
      </c>
    </row>
    <row r="909" spans="1:9">
      <c r="A909">
        <v>100908</v>
      </c>
      <c r="B909" t="s">
        <v>171</v>
      </c>
      <c r="C909" t="s">
        <v>92</v>
      </c>
      <c r="D909">
        <v>150000</v>
      </c>
      <c r="E909">
        <v>118169</v>
      </c>
      <c r="F909">
        <v>23</v>
      </c>
      <c r="G909">
        <v>4.3</v>
      </c>
      <c r="H909">
        <v>6</v>
      </c>
      <c r="I909" t="s">
        <v>93</v>
      </c>
    </row>
    <row r="910" spans="1:9">
      <c r="A910">
        <v>100909</v>
      </c>
      <c r="B910" t="s">
        <v>167</v>
      </c>
      <c r="C910" t="s">
        <v>92</v>
      </c>
      <c r="D910">
        <v>150000</v>
      </c>
      <c r="E910">
        <v>169976</v>
      </c>
      <c r="F910">
        <v>22</v>
      </c>
      <c r="G910">
        <v>3.8</v>
      </c>
      <c r="H910">
        <v>8</v>
      </c>
      <c r="I910" t="s">
        <v>93</v>
      </c>
    </row>
    <row r="911" spans="1:9">
      <c r="A911">
        <v>100910</v>
      </c>
      <c r="B911" t="s">
        <v>136</v>
      </c>
      <c r="C911" t="s">
        <v>92</v>
      </c>
      <c r="D911">
        <v>100000</v>
      </c>
      <c r="E911">
        <v>90682</v>
      </c>
      <c r="F911">
        <v>26</v>
      </c>
      <c r="G911">
        <v>3.8</v>
      </c>
      <c r="H911">
        <v>11</v>
      </c>
      <c r="I911" t="s">
        <v>93</v>
      </c>
    </row>
    <row r="912" spans="1:9">
      <c r="A912">
        <v>100911</v>
      </c>
      <c r="B912" t="s">
        <v>194</v>
      </c>
      <c r="C912" t="s">
        <v>95</v>
      </c>
      <c r="D912">
        <v>50000</v>
      </c>
      <c r="E912">
        <v>44245</v>
      </c>
      <c r="F912">
        <v>25</v>
      </c>
      <c r="G912">
        <v>1.7</v>
      </c>
      <c r="H912">
        <v>13</v>
      </c>
      <c r="I912" t="s">
        <v>93</v>
      </c>
    </row>
    <row r="913" spans="1:9">
      <c r="A913">
        <v>100912</v>
      </c>
      <c r="B913" t="s">
        <v>231</v>
      </c>
      <c r="C913" t="s">
        <v>107</v>
      </c>
      <c r="D913">
        <v>0</v>
      </c>
      <c r="E913">
        <v>71744</v>
      </c>
      <c r="F913">
        <v>29</v>
      </c>
      <c r="G913">
        <v>3.3</v>
      </c>
      <c r="H913">
        <v>1</v>
      </c>
      <c r="I913" t="s">
        <v>93</v>
      </c>
    </row>
    <row r="914" spans="1:9">
      <c r="A914">
        <v>100913</v>
      </c>
      <c r="B914" t="s">
        <v>147</v>
      </c>
      <c r="C914" t="s">
        <v>107</v>
      </c>
      <c r="D914">
        <v>100000</v>
      </c>
      <c r="E914">
        <v>160807</v>
      </c>
      <c r="F914">
        <v>26</v>
      </c>
      <c r="G914">
        <v>4.8</v>
      </c>
      <c r="H914">
        <v>7</v>
      </c>
      <c r="I914" t="s">
        <v>93</v>
      </c>
    </row>
    <row r="915" spans="1:9">
      <c r="A915">
        <v>100914</v>
      </c>
      <c r="B915" t="s">
        <v>318</v>
      </c>
      <c r="C915" t="s">
        <v>95</v>
      </c>
      <c r="D915">
        <v>120000</v>
      </c>
      <c r="E915">
        <v>80514</v>
      </c>
      <c r="F915">
        <v>19</v>
      </c>
      <c r="G915">
        <v>3.4</v>
      </c>
      <c r="H915">
        <v>1</v>
      </c>
      <c r="I915" t="s">
        <v>93</v>
      </c>
    </row>
    <row r="916" spans="1:9">
      <c r="A916">
        <v>100915</v>
      </c>
      <c r="B916" t="s">
        <v>130</v>
      </c>
      <c r="C916" t="s">
        <v>92</v>
      </c>
      <c r="D916">
        <v>100000</v>
      </c>
      <c r="E916">
        <v>147931</v>
      </c>
      <c r="F916">
        <v>15</v>
      </c>
      <c r="G916">
        <v>3.3</v>
      </c>
      <c r="H916">
        <v>1</v>
      </c>
      <c r="I916" t="s">
        <v>50</v>
      </c>
    </row>
    <row r="917" spans="1:9">
      <c r="A917">
        <v>100916</v>
      </c>
      <c r="B917" t="s">
        <v>294</v>
      </c>
      <c r="C917" t="s">
        <v>107</v>
      </c>
      <c r="D917">
        <v>120000</v>
      </c>
      <c r="E917">
        <v>111672</v>
      </c>
      <c r="F917">
        <v>23</v>
      </c>
      <c r="G917">
        <v>4.5999999999999996</v>
      </c>
      <c r="H917">
        <v>5</v>
      </c>
      <c r="I917" t="s">
        <v>93</v>
      </c>
    </row>
    <row r="918" spans="1:9">
      <c r="A918">
        <v>100917</v>
      </c>
      <c r="B918" t="s">
        <v>199</v>
      </c>
      <c r="C918" t="s">
        <v>111</v>
      </c>
      <c r="D918">
        <v>50000</v>
      </c>
      <c r="E918">
        <v>42967</v>
      </c>
      <c r="F918">
        <v>23</v>
      </c>
      <c r="G918">
        <v>2.8</v>
      </c>
      <c r="H918">
        <v>3</v>
      </c>
      <c r="I918" t="s">
        <v>93</v>
      </c>
    </row>
    <row r="919" spans="1:9">
      <c r="A919">
        <v>100918</v>
      </c>
      <c r="B919" t="s">
        <v>343</v>
      </c>
      <c r="C919" t="s">
        <v>107</v>
      </c>
      <c r="D919">
        <v>150000</v>
      </c>
      <c r="E919">
        <v>137102</v>
      </c>
      <c r="F919">
        <v>25</v>
      </c>
      <c r="G919">
        <v>2.1</v>
      </c>
      <c r="H919">
        <v>2</v>
      </c>
      <c r="I919" t="s">
        <v>50</v>
      </c>
    </row>
    <row r="920" spans="1:9">
      <c r="A920">
        <v>100919</v>
      </c>
      <c r="B920" t="s">
        <v>202</v>
      </c>
      <c r="C920" t="s">
        <v>95</v>
      </c>
      <c r="D920">
        <v>50000</v>
      </c>
      <c r="E920">
        <v>35661</v>
      </c>
      <c r="F920">
        <v>28</v>
      </c>
      <c r="G920">
        <v>4.5</v>
      </c>
      <c r="H920">
        <v>13</v>
      </c>
      <c r="I920" t="s">
        <v>93</v>
      </c>
    </row>
    <row r="921" spans="1:9">
      <c r="A921">
        <v>100920</v>
      </c>
      <c r="B921" t="s">
        <v>282</v>
      </c>
      <c r="C921" t="s">
        <v>107</v>
      </c>
      <c r="D921">
        <v>150000</v>
      </c>
      <c r="E921">
        <v>122819</v>
      </c>
      <c r="F921">
        <v>26</v>
      </c>
      <c r="G921">
        <v>1.7</v>
      </c>
      <c r="H921">
        <v>12</v>
      </c>
      <c r="I921" t="s">
        <v>93</v>
      </c>
    </row>
    <row r="922" spans="1:9">
      <c r="A922">
        <v>100921</v>
      </c>
      <c r="B922" t="s">
        <v>193</v>
      </c>
      <c r="C922" t="s">
        <v>95</v>
      </c>
      <c r="D922">
        <v>0</v>
      </c>
      <c r="E922">
        <v>111431</v>
      </c>
      <c r="F922">
        <v>24</v>
      </c>
      <c r="G922">
        <v>4.9000000000000004</v>
      </c>
      <c r="H922">
        <v>13</v>
      </c>
      <c r="I922" t="s">
        <v>93</v>
      </c>
    </row>
    <row r="923" spans="1:9">
      <c r="A923">
        <v>100922</v>
      </c>
      <c r="B923" t="s">
        <v>166</v>
      </c>
      <c r="C923" t="s">
        <v>111</v>
      </c>
      <c r="D923">
        <v>120000</v>
      </c>
      <c r="E923">
        <v>36050</v>
      </c>
      <c r="F923">
        <v>16</v>
      </c>
      <c r="G923">
        <v>2.1</v>
      </c>
      <c r="H923">
        <v>3</v>
      </c>
      <c r="I923" t="s">
        <v>93</v>
      </c>
    </row>
    <row r="924" spans="1:9">
      <c r="A924">
        <v>100923</v>
      </c>
      <c r="B924" t="s">
        <v>186</v>
      </c>
      <c r="C924" t="s">
        <v>111</v>
      </c>
      <c r="D924">
        <v>150000</v>
      </c>
      <c r="E924">
        <v>133338</v>
      </c>
      <c r="F924">
        <v>30</v>
      </c>
      <c r="G924">
        <v>2.4</v>
      </c>
      <c r="H924">
        <v>11</v>
      </c>
      <c r="I924" t="s">
        <v>93</v>
      </c>
    </row>
    <row r="925" spans="1:9">
      <c r="A925">
        <v>100924</v>
      </c>
      <c r="B925" t="s">
        <v>196</v>
      </c>
      <c r="C925" t="s">
        <v>107</v>
      </c>
      <c r="D925">
        <v>50000</v>
      </c>
      <c r="E925">
        <v>32917</v>
      </c>
      <c r="F925">
        <v>24</v>
      </c>
      <c r="G925">
        <v>3.8</v>
      </c>
      <c r="H925">
        <v>6</v>
      </c>
      <c r="I925" t="s">
        <v>93</v>
      </c>
    </row>
    <row r="926" spans="1:9">
      <c r="A926">
        <v>100925</v>
      </c>
      <c r="B926" t="s">
        <v>200</v>
      </c>
      <c r="C926" t="s">
        <v>92</v>
      </c>
      <c r="D926">
        <v>75000</v>
      </c>
      <c r="E926">
        <v>144053</v>
      </c>
      <c r="F926">
        <v>22</v>
      </c>
      <c r="G926">
        <v>1.8</v>
      </c>
      <c r="H926">
        <v>6</v>
      </c>
      <c r="I926" t="s">
        <v>93</v>
      </c>
    </row>
    <row r="927" spans="1:9">
      <c r="A927">
        <v>100926</v>
      </c>
      <c r="B927" t="s">
        <v>179</v>
      </c>
      <c r="C927" t="s">
        <v>111</v>
      </c>
      <c r="D927">
        <v>0</v>
      </c>
      <c r="E927">
        <v>68994</v>
      </c>
      <c r="F927">
        <v>17</v>
      </c>
      <c r="G927">
        <v>2.2000000000000002</v>
      </c>
      <c r="H927">
        <v>14</v>
      </c>
      <c r="I927" t="s">
        <v>93</v>
      </c>
    </row>
    <row r="928" spans="1:9">
      <c r="A928">
        <v>100927</v>
      </c>
      <c r="B928" t="s">
        <v>182</v>
      </c>
      <c r="C928" t="s">
        <v>111</v>
      </c>
      <c r="D928">
        <v>50000</v>
      </c>
      <c r="E928">
        <v>51725</v>
      </c>
      <c r="F928">
        <v>18</v>
      </c>
      <c r="G928">
        <v>2.2999999999999998</v>
      </c>
      <c r="H928">
        <v>13</v>
      </c>
      <c r="I928" t="s">
        <v>93</v>
      </c>
    </row>
    <row r="929" spans="1:9">
      <c r="A929">
        <v>100928</v>
      </c>
      <c r="B929" t="s">
        <v>344</v>
      </c>
      <c r="C929" t="s">
        <v>107</v>
      </c>
      <c r="D929">
        <v>50000</v>
      </c>
      <c r="E929">
        <v>131415</v>
      </c>
      <c r="F929">
        <v>17</v>
      </c>
      <c r="G929">
        <v>1.9</v>
      </c>
      <c r="H929">
        <v>1</v>
      </c>
      <c r="I929" t="s">
        <v>93</v>
      </c>
    </row>
    <row r="930" spans="1:9">
      <c r="A930">
        <v>100929</v>
      </c>
      <c r="B930" t="s">
        <v>333</v>
      </c>
      <c r="C930" t="s">
        <v>95</v>
      </c>
      <c r="D930">
        <v>150000</v>
      </c>
      <c r="E930">
        <v>77640</v>
      </c>
      <c r="F930">
        <v>16</v>
      </c>
      <c r="G930">
        <v>1.7</v>
      </c>
      <c r="H930">
        <v>7</v>
      </c>
      <c r="I930" t="s">
        <v>93</v>
      </c>
    </row>
    <row r="931" spans="1:9">
      <c r="A931">
        <v>100930</v>
      </c>
      <c r="B931" t="s">
        <v>262</v>
      </c>
      <c r="C931" t="s">
        <v>95</v>
      </c>
      <c r="D931">
        <v>0</v>
      </c>
      <c r="E931">
        <v>138123</v>
      </c>
      <c r="F931">
        <v>30</v>
      </c>
      <c r="G931">
        <v>3.3</v>
      </c>
      <c r="H931">
        <v>9</v>
      </c>
      <c r="I931" t="s">
        <v>93</v>
      </c>
    </row>
    <row r="932" spans="1:9">
      <c r="A932">
        <v>100931</v>
      </c>
      <c r="B932" t="s">
        <v>123</v>
      </c>
      <c r="C932" t="s">
        <v>107</v>
      </c>
      <c r="D932">
        <v>50000</v>
      </c>
      <c r="E932">
        <v>105287</v>
      </c>
      <c r="F932">
        <v>19</v>
      </c>
      <c r="G932">
        <v>4.2</v>
      </c>
      <c r="H932">
        <v>4</v>
      </c>
      <c r="I932" t="s">
        <v>93</v>
      </c>
    </row>
    <row r="933" spans="1:9">
      <c r="A933">
        <v>100932</v>
      </c>
      <c r="B933" t="s">
        <v>286</v>
      </c>
      <c r="C933" t="s">
        <v>111</v>
      </c>
      <c r="D933">
        <v>120000</v>
      </c>
      <c r="E933">
        <v>84090</v>
      </c>
      <c r="F933">
        <v>29</v>
      </c>
      <c r="G933">
        <v>4</v>
      </c>
      <c r="H933">
        <v>13</v>
      </c>
      <c r="I933" t="s">
        <v>93</v>
      </c>
    </row>
    <row r="934" spans="1:9">
      <c r="A934">
        <v>100933</v>
      </c>
      <c r="B934" t="s">
        <v>247</v>
      </c>
      <c r="C934" t="s">
        <v>92</v>
      </c>
      <c r="D934">
        <v>120000</v>
      </c>
      <c r="E934">
        <v>42841</v>
      </c>
      <c r="F934">
        <v>30</v>
      </c>
      <c r="G934">
        <v>4.2</v>
      </c>
      <c r="H934">
        <v>7</v>
      </c>
      <c r="I934" t="s">
        <v>50</v>
      </c>
    </row>
    <row r="935" spans="1:9">
      <c r="A935">
        <v>100934</v>
      </c>
      <c r="B935" t="s">
        <v>123</v>
      </c>
      <c r="C935" t="s">
        <v>111</v>
      </c>
      <c r="D935">
        <v>120000</v>
      </c>
      <c r="E935">
        <v>164715</v>
      </c>
      <c r="F935">
        <v>16</v>
      </c>
      <c r="G935">
        <v>3</v>
      </c>
      <c r="H935">
        <v>7</v>
      </c>
      <c r="I935" t="s">
        <v>93</v>
      </c>
    </row>
    <row r="936" spans="1:9">
      <c r="A936">
        <v>100935</v>
      </c>
      <c r="B936" t="s">
        <v>301</v>
      </c>
      <c r="C936" t="s">
        <v>107</v>
      </c>
      <c r="D936">
        <v>100000</v>
      </c>
      <c r="E936">
        <v>149870</v>
      </c>
      <c r="F936">
        <v>20</v>
      </c>
      <c r="G936">
        <v>2.1</v>
      </c>
      <c r="H936">
        <v>8</v>
      </c>
      <c r="I936" t="s">
        <v>93</v>
      </c>
    </row>
    <row r="937" spans="1:9">
      <c r="A937">
        <v>100936</v>
      </c>
      <c r="B937" t="s">
        <v>271</v>
      </c>
      <c r="C937" t="s">
        <v>92</v>
      </c>
      <c r="D937">
        <v>100000</v>
      </c>
      <c r="E937">
        <v>81160</v>
      </c>
      <c r="F937">
        <v>29</v>
      </c>
      <c r="G937">
        <v>3.2</v>
      </c>
      <c r="H937">
        <v>1</v>
      </c>
      <c r="I937" t="s">
        <v>93</v>
      </c>
    </row>
    <row r="938" spans="1:9">
      <c r="A938">
        <v>100937</v>
      </c>
      <c r="B938" t="s">
        <v>320</v>
      </c>
      <c r="C938" t="s">
        <v>107</v>
      </c>
      <c r="D938">
        <v>100000</v>
      </c>
      <c r="E938">
        <v>147638</v>
      </c>
      <c r="F938">
        <v>20</v>
      </c>
      <c r="G938">
        <v>4.8</v>
      </c>
      <c r="H938">
        <v>12</v>
      </c>
      <c r="I938" t="s">
        <v>93</v>
      </c>
    </row>
    <row r="939" spans="1:9">
      <c r="A939">
        <v>100938</v>
      </c>
      <c r="B939" t="s">
        <v>249</v>
      </c>
      <c r="C939" t="s">
        <v>107</v>
      </c>
      <c r="D939">
        <v>150000</v>
      </c>
      <c r="E939">
        <v>175874</v>
      </c>
      <c r="F939">
        <v>17</v>
      </c>
      <c r="G939">
        <v>2</v>
      </c>
      <c r="H939">
        <v>3</v>
      </c>
      <c r="I939" t="s">
        <v>93</v>
      </c>
    </row>
    <row r="940" spans="1:9">
      <c r="A940">
        <v>100939</v>
      </c>
      <c r="B940" t="s">
        <v>330</v>
      </c>
      <c r="C940" t="s">
        <v>107</v>
      </c>
      <c r="D940">
        <v>120000</v>
      </c>
      <c r="E940">
        <v>149691</v>
      </c>
      <c r="F940">
        <v>29</v>
      </c>
      <c r="G940">
        <v>4.8</v>
      </c>
      <c r="H940">
        <v>9</v>
      </c>
      <c r="I940" t="s">
        <v>93</v>
      </c>
    </row>
    <row r="941" spans="1:9">
      <c r="A941">
        <v>100940</v>
      </c>
      <c r="B941" t="s">
        <v>299</v>
      </c>
      <c r="C941" t="s">
        <v>107</v>
      </c>
      <c r="D941">
        <v>50000</v>
      </c>
      <c r="E941">
        <v>83563</v>
      </c>
      <c r="F941">
        <v>23</v>
      </c>
      <c r="G941">
        <v>2</v>
      </c>
      <c r="H941">
        <v>13</v>
      </c>
      <c r="I941" t="s">
        <v>93</v>
      </c>
    </row>
    <row r="942" spans="1:9">
      <c r="A942">
        <v>100941</v>
      </c>
      <c r="B942" t="s">
        <v>292</v>
      </c>
      <c r="C942" t="s">
        <v>111</v>
      </c>
      <c r="D942">
        <v>150000</v>
      </c>
      <c r="E942">
        <v>137383</v>
      </c>
      <c r="F942">
        <v>15</v>
      </c>
      <c r="G942">
        <v>1.8</v>
      </c>
      <c r="H942">
        <v>2</v>
      </c>
      <c r="I942" t="s">
        <v>50</v>
      </c>
    </row>
    <row r="943" spans="1:9">
      <c r="A943">
        <v>100942</v>
      </c>
      <c r="B943" t="s">
        <v>144</v>
      </c>
      <c r="C943" t="s">
        <v>92</v>
      </c>
      <c r="D943">
        <v>120000</v>
      </c>
      <c r="E943">
        <v>133829</v>
      </c>
      <c r="F943">
        <v>23</v>
      </c>
      <c r="G943">
        <v>2.9</v>
      </c>
      <c r="H943">
        <v>8</v>
      </c>
      <c r="I943" t="s">
        <v>93</v>
      </c>
    </row>
    <row r="944" spans="1:9">
      <c r="A944">
        <v>100943</v>
      </c>
      <c r="B944" t="s">
        <v>185</v>
      </c>
      <c r="C944" t="s">
        <v>92</v>
      </c>
      <c r="D944">
        <v>150000</v>
      </c>
      <c r="E944">
        <v>59325</v>
      </c>
      <c r="F944">
        <v>15</v>
      </c>
      <c r="G944">
        <v>4.7</v>
      </c>
      <c r="H944">
        <v>6</v>
      </c>
      <c r="I944" t="s">
        <v>93</v>
      </c>
    </row>
    <row r="945" spans="1:9">
      <c r="A945">
        <v>100944</v>
      </c>
      <c r="B945" t="s">
        <v>331</v>
      </c>
      <c r="C945" t="s">
        <v>107</v>
      </c>
      <c r="D945">
        <v>0</v>
      </c>
      <c r="E945">
        <v>64892</v>
      </c>
      <c r="F945">
        <v>27</v>
      </c>
      <c r="G945">
        <v>4.4000000000000004</v>
      </c>
      <c r="H945">
        <v>3</v>
      </c>
      <c r="I945" t="s">
        <v>93</v>
      </c>
    </row>
    <row r="946" spans="1:9">
      <c r="A946">
        <v>100945</v>
      </c>
      <c r="B946" t="s">
        <v>236</v>
      </c>
      <c r="C946" t="s">
        <v>107</v>
      </c>
      <c r="D946">
        <v>50000</v>
      </c>
      <c r="E946">
        <v>76952</v>
      </c>
      <c r="F946">
        <v>27</v>
      </c>
      <c r="G946">
        <v>4.5999999999999996</v>
      </c>
      <c r="H946">
        <v>2</v>
      </c>
      <c r="I946" t="s">
        <v>93</v>
      </c>
    </row>
    <row r="947" spans="1:9">
      <c r="A947">
        <v>100946</v>
      </c>
      <c r="B947" t="s">
        <v>147</v>
      </c>
      <c r="C947" t="s">
        <v>92</v>
      </c>
      <c r="D947">
        <v>150000</v>
      </c>
      <c r="E947">
        <v>103209</v>
      </c>
      <c r="F947">
        <v>25</v>
      </c>
      <c r="G947">
        <v>2.1</v>
      </c>
      <c r="H947">
        <v>4</v>
      </c>
      <c r="I947" t="s">
        <v>93</v>
      </c>
    </row>
    <row r="948" spans="1:9">
      <c r="A948">
        <v>100947</v>
      </c>
      <c r="B948" t="s">
        <v>262</v>
      </c>
      <c r="C948" t="s">
        <v>107</v>
      </c>
      <c r="D948">
        <v>0</v>
      </c>
      <c r="E948">
        <v>167916</v>
      </c>
      <c r="F948">
        <v>29</v>
      </c>
      <c r="G948">
        <v>3.6</v>
      </c>
      <c r="H948">
        <v>1</v>
      </c>
      <c r="I948" t="s">
        <v>93</v>
      </c>
    </row>
    <row r="949" spans="1:9">
      <c r="A949">
        <v>100948</v>
      </c>
      <c r="B949" t="s">
        <v>293</v>
      </c>
      <c r="C949" t="s">
        <v>92</v>
      </c>
      <c r="D949">
        <v>100000</v>
      </c>
      <c r="E949">
        <v>151024</v>
      </c>
      <c r="F949">
        <v>24</v>
      </c>
      <c r="G949">
        <v>4.9000000000000004</v>
      </c>
      <c r="H949">
        <v>7</v>
      </c>
      <c r="I949" t="s">
        <v>93</v>
      </c>
    </row>
    <row r="950" spans="1:9">
      <c r="A950">
        <v>100949</v>
      </c>
      <c r="B950" t="s">
        <v>329</v>
      </c>
      <c r="C950" t="s">
        <v>95</v>
      </c>
      <c r="D950">
        <v>50000</v>
      </c>
      <c r="E950">
        <v>179040</v>
      </c>
      <c r="F950">
        <v>27</v>
      </c>
      <c r="G950">
        <v>4.9000000000000004</v>
      </c>
      <c r="H950">
        <v>12</v>
      </c>
      <c r="I950" t="s">
        <v>93</v>
      </c>
    </row>
    <row r="951" spans="1:9">
      <c r="A951">
        <v>100950</v>
      </c>
      <c r="B951" t="s">
        <v>153</v>
      </c>
      <c r="C951" t="s">
        <v>107</v>
      </c>
      <c r="D951">
        <v>150000</v>
      </c>
      <c r="E951">
        <v>58506</v>
      </c>
      <c r="F951">
        <v>16</v>
      </c>
      <c r="G951">
        <v>4</v>
      </c>
      <c r="H951">
        <v>11</v>
      </c>
      <c r="I951" t="s">
        <v>93</v>
      </c>
    </row>
    <row r="952" spans="1:9">
      <c r="A952">
        <v>100951</v>
      </c>
      <c r="B952" t="s">
        <v>335</v>
      </c>
      <c r="C952" t="s">
        <v>95</v>
      </c>
      <c r="D952">
        <v>75000</v>
      </c>
      <c r="E952">
        <v>41713</v>
      </c>
      <c r="F952">
        <v>20</v>
      </c>
      <c r="G952">
        <v>4.3</v>
      </c>
      <c r="H952">
        <v>12</v>
      </c>
      <c r="I952" t="s">
        <v>93</v>
      </c>
    </row>
    <row r="953" spans="1:9">
      <c r="A953">
        <v>100952</v>
      </c>
      <c r="B953" t="s">
        <v>267</v>
      </c>
      <c r="C953" t="s">
        <v>111</v>
      </c>
      <c r="D953">
        <v>50000</v>
      </c>
      <c r="E953">
        <v>41596</v>
      </c>
      <c r="F953">
        <v>21</v>
      </c>
      <c r="G953">
        <v>4.4000000000000004</v>
      </c>
      <c r="H953">
        <v>0</v>
      </c>
      <c r="I953" t="s">
        <v>93</v>
      </c>
    </row>
    <row r="954" spans="1:9">
      <c r="A954">
        <v>100953</v>
      </c>
      <c r="B954" t="s">
        <v>312</v>
      </c>
      <c r="C954" t="s">
        <v>95</v>
      </c>
      <c r="D954">
        <v>75000</v>
      </c>
      <c r="E954">
        <v>68523</v>
      </c>
      <c r="F954">
        <v>18</v>
      </c>
      <c r="G954">
        <v>4.7</v>
      </c>
      <c r="H954">
        <v>11</v>
      </c>
      <c r="I954" t="s">
        <v>93</v>
      </c>
    </row>
    <row r="955" spans="1:9">
      <c r="A955">
        <v>100954</v>
      </c>
      <c r="B955" t="s">
        <v>243</v>
      </c>
      <c r="C955" t="s">
        <v>107</v>
      </c>
      <c r="D955">
        <v>75000</v>
      </c>
      <c r="E955">
        <v>127109</v>
      </c>
      <c r="F955">
        <v>25</v>
      </c>
      <c r="G955">
        <v>1.5</v>
      </c>
      <c r="H955">
        <v>13</v>
      </c>
      <c r="I955" t="s">
        <v>93</v>
      </c>
    </row>
    <row r="956" spans="1:9">
      <c r="A956">
        <v>100955</v>
      </c>
      <c r="B956" t="s">
        <v>261</v>
      </c>
      <c r="C956" t="s">
        <v>95</v>
      </c>
      <c r="D956">
        <v>0</v>
      </c>
      <c r="E956">
        <v>129420</v>
      </c>
      <c r="F956">
        <v>26</v>
      </c>
      <c r="G956">
        <v>1.7</v>
      </c>
      <c r="H956">
        <v>9</v>
      </c>
      <c r="I956" t="s">
        <v>93</v>
      </c>
    </row>
    <row r="957" spans="1:9">
      <c r="A957">
        <v>100956</v>
      </c>
      <c r="B957" t="s">
        <v>206</v>
      </c>
      <c r="C957" t="s">
        <v>92</v>
      </c>
      <c r="D957">
        <v>0</v>
      </c>
      <c r="E957">
        <v>116563</v>
      </c>
      <c r="F957">
        <v>24</v>
      </c>
      <c r="G957">
        <v>2.8</v>
      </c>
      <c r="H957">
        <v>14</v>
      </c>
      <c r="I957" t="s">
        <v>93</v>
      </c>
    </row>
    <row r="958" spans="1:9">
      <c r="A958">
        <v>100957</v>
      </c>
      <c r="B958" t="s">
        <v>269</v>
      </c>
      <c r="C958" t="s">
        <v>107</v>
      </c>
      <c r="D958">
        <v>50000</v>
      </c>
      <c r="E958">
        <v>45790</v>
      </c>
      <c r="F958">
        <v>18</v>
      </c>
      <c r="G958">
        <v>1.7</v>
      </c>
      <c r="H958">
        <v>12</v>
      </c>
      <c r="I958" t="s">
        <v>93</v>
      </c>
    </row>
    <row r="959" spans="1:9">
      <c r="A959">
        <v>100958</v>
      </c>
      <c r="B959" t="s">
        <v>280</v>
      </c>
      <c r="C959" t="s">
        <v>92</v>
      </c>
      <c r="D959">
        <v>0</v>
      </c>
      <c r="E959">
        <v>90570</v>
      </c>
      <c r="F959">
        <v>27</v>
      </c>
      <c r="G959">
        <v>2.2000000000000002</v>
      </c>
      <c r="H959">
        <v>5</v>
      </c>
      <c r="I959" t="s">
        <v>93</v>
      </c>
    </row>
    <row r="960" spans="1:9">
      <c r="A960">
        <v>100959</v>
      </c>
      <c r="B960" t="s">
        <v>317</v>
      </c>
      <c r="C960" t="s">
        <v>107</v>
      </c>
      <c r="D960">
        <v>100000</v>
      </c>
      <c r="E960">
        <v>46282</v>
      </c>
      <c r="F960">
        <v>20</v>
      </c>
      <c r="G960">
        <v>1.8</v>
      </c>
      <c r="H960">
        <v>8</v>
      </c>
      <c r="I960" t="s">
        <v>93</v>
      </c>
    </row>
    <row r="961" spans="1:9">
      <c r="A961">
        <v>100960</v>
      </c>
      <c r="B961" t="s">
        <v>259</v>
      </c>
      <c r="C961" t="s">
        <v>92</v>
      </c>
      <c r="D961">
        <v>75000</v>
      </c>
      <c r="E961">
        <v>75357</v>
      </c>
      <c r="F961">
        <v>21</v>
      </c>
      <c r="G961">
        <v>4.2</v>
      </c>
      <c r="H961">
        <v>9</v>
      </c>
      <c r="I961" t="s">
        <v>93</v>
      </c>
    </row>
    <row r="962" spans="1:9">
      <c r="A962">
        <v>100961</v>
      </c>
      <c r="B962" t="s">
        <v>304</v>
      </c>
      <c r="C962" t="s">
        <v>95</v>
      </c>
      <c r="D962">
        <v>150000</v>
      </c>
      <c r="E962">
        <v>156791</v>
      </c>
      <c r="F962">
        <v>17</v>
      </c>
      <c r="G962">
        <v>4.3</v>
      </c>
      <c r="H962">
        <v>8</v>
      </c>
      <c r="I962" t="s">
        <v>93</v>
      </c>
    </row>
    <row r="963" spans="1:9">
      <c r="A963">
        <v>100962</v>
      </c>
      <c r="B963" t="s">
        <v>351</v>
      </c>
      <c r="C963" t="s">
        <v>92</v>
      </c>
      <c r="D963">
        <v>100000</v>
      </c>
      <c r="E963">
        <v>50744</v>
      </c>
      <c r="F963">
        <v>30</v>
      </c>
      <c r="G963">
        <v>3.2</v>
      </c>
      <c r="H963">
        <v>2</v>
      </c>
      <c r="I963" t="s">
        <v>93</v>
      </c>
    </row>
    <row r="964" spans="1:9">
      <c r="A964">
        <v>100963</v>
      </c>
      <c r="B964" t="s">
        <v>119</v>
      </c>
      <c r="C964" t="s">
        <v>92</v>
      </c>
      <c r="D964">
        <v>100000</v>
      </c>
      <c r="E964">
        <v>144639</v>
      </c>
      <c r="F964">
        <v>26</v>
      </c>
      <c r="G964">
        <v>4</v>
      </c>
      <c r="H964">
        <v>15</v>
      </c>
      <c r="I964" t="s">
        <v>50</v>
      </c>
    </row>
    <row r="965" spans="1:9">
      <c r="A965">
        <v>100964</v>
      </c>
      <c r="B965" t="s">
        <v>257</v>
      </c>
      <c r="C965" t="s">
        <v>107</v>
      </c>
      <c r="D965">
        <v>0</v>
      </c>
      <c r="E965">
        <v>119914</v>
      </c>
      <c r="F965">
        <v>21</v>
      </c>
      <c r="G965">
        <v>2.2999999999999998</v>
      </c>
      <c r="H965">
        <v>4</v>
      </c>
      <c r="I965" t="s">
        <v>93</v>
      </c>
    </row>
    <row r="966" spans="1:9">
      <c r="A966">
        <v>100965</v>
      </c>
      <c r="B966" t="s">
        <v>275</v>
      </c>
      <c r="C966" t="s">
        <v>107</v>
      </c>
      <c r="D966">
        <v>120000</v>
      </c>
      <c r="E966">
        <v>154920</v>
      </c>
      <c r="F966">
        <v>24</v>
      </c>
      <c r="G966">
        <v>2.7</v>
      </c>
      <c r="H966">
        <v>12</v>
      </c>
      <c r="I966" t="s">
        <v>93</v>
      </c>
    </row>
    <row r="967" spans="1:9">
      <c r="A967">
        <v>100966</v>
      </c>
      <c r="B967" t="s">
        <v>159</v>
      </c>
      <c r="C967" t="s">
        <v>92</v>
      </c>
      <c r="D967">
        <v>75000</v>
      </c>
      <c r="E967">
        <v>172864</v>
      </c>
      <c r="F967">
        <v>20</v>
      </c>
      <c r="G967">
        <v>3.5</v>
      </c>
      <c r="H967">
        <v>5</v>
      </c>
      <c r="I967" t="s">
        <v>93</v>
      </c>
    </row>
    <row r="968" spans="1:9">
      <c r="A968">
        <v>100967</v>
      </c>
      <c r="B968" t="s">
        <v>159</v>
      </c>
      <c r="C968" t="s">
        <v>92</v>
      </c>
      <c r="D968">
        <v>150000</v>
      </c>
      <c r="E968">
        <v>147298</v>
      </c>
      <c r="F968">
        <v>25</v>
      </c>
      <c r="G968">
        <v>3.5</v>
      </c>
      <c r="H968">
        <v>3</v>
      </c>
      <c r="I968" t="s">
        <v>93</v>
      </c>
    </row>
    <row r="969" spans="1:9">
      <c r="A969">
        <v>100968</v>
      </c>
      <c r="B969" t="s">
        <v>242</v>
      </c>
      <c r="C969" t="s">
        <v>107</v>
      </c>
      <c r="D969">
        <v>100000</v>
      </c>
      <c r="E969">
        <v>128247</v>
      </c>
      <c r="F969">
        <v>26</v>
      </c>
      <c r="G969">
        <v>2.7</v>
      </c>
      <c r="H969">
        <v>10</v>
      </c>
      <c r="I969" t="s">
        <v>93</v>
      </c>
    </row>
    <row r="970" spans="1:9">
      <c r="A970">
        <v>100969</v>
      </c>
      <c r="B970" t="s">
        <v>251</v>
      </c>
      <c r="C970" t="s">
        <v>111</v>
      </c>
      <c r="D970">
        <v>75000</v>
      </c>
      <c r="E970">
        <v>163971</v>
      </c>
      <c r="F970">
        <v>27</v>
      </c>
      <c r="G970">
        <v>3.7</v>
      </c>
      <c r="H970">
        <v>14</v>
      </c>
      <c r="I970" t="s">
        <v>93</v>
      </c>
    </row>
    <row r="971" spans="1:9">
      <c r="A971">
        <v>100970</v>
      </c>
      <c r="B971" t="s">
        <v>199</v>
      </c>
      <c r="C971" t="s">
        <v>92</v>
      </c>
      <c r="D971">
        <v>50000</v>
      </c>
      <c r="E971">
        <v>31799</v>
      </c>
      <c r="F971">
        <v>15</v>
      </c>
      <c r="G971">
        <v>4.2</v>
      </c>
      <c r="H971">
        <v>8</v>
      </c>
      <c r="I971" t="s">
        <v>93</v>
      </c>
    </row>
    <row r="972" spans="1:9">
      <c r="A972">
        <v>100971</v>
      </c>
      <c r="B972" t="s">
        <v>304</v>
      </c>
      <c r="C972" t="s">
        <v>107</v>
      </c>
      <c r="D972">
        <v>100000</v>
      </c>
      <c r="E972">
        <v>79560</v>
      </c>
      <c r="F972">
        <v>20</v>
      </c>
      <c r="G972">
        <v>3.7</v>
      </c>
      <c r="H972">
        <v>10</v>
      </c>
      <c r="I972" t="s">
        <v>93</v>
      </c>
    </row>
    <row r="973" spans="1:9">
      <c r="A973">
        <v>100972</v>
      </c>
      <c r="B973" t="s">
        <v>148</v>
      </c>
      <c r="C973" t="s">
        <v>111</v>
      </c>
      <c r="D973">
        <v>0</v>
      </c>
      <c r="E973">
        <v>163245</v>
      </c>
      <c r="F973">
        <v>17</v>
      </c>
      <c r="G973">
        <v>3.4</v>
      </c>
      <c r="H973">
        <v>5</v>
      </c>
      <c r="I973" t="s">
        <v>50</v>
      </c>
    </row>
    <row r="974" spans="1:9">
      <c r="A974">
        <v>100973</v>
      </c>
      <c r="B974" t="s">
        <v>230</v>
      </c>
      <c r="C974" t="s">
        <v>107</v>
      </c>
      <c r="D974">
        <v>100000</v>
      </c>
      <c r="E974">
        <v>108760</v>
      </c>
      <c r="F974">
        <v>17</v>
      </c>
      <c r="G974">
        <v>4.0999999999999996</v>
      </c>
      <c r="H974">
        <v>11</v>
      </c>
      <c r="I974" t="s">
        <v>93</v>
      </c>
    </row>
    <row r="975" spans="1:9">
      <c r="A975">
        <v>100974</v>
      </c>
      <c r="B975" t="s">
        <v>160</v>
      </c>
      <c r="C975" t="s">
        <v>95</v>
      </c>
      <c r="D975">
        <v>150000</v>
      </c>
      <c r="E975">
        <v>101044</v>
      </c>
      <c r="F975">
        <v>25</v>
      </c>
      <c r="G975">
        <v>3.9</v>
      </c>
      <c r="H975">
        <v>11</v>
      </c>
      <c r="I975" t="s">
        <v>93</v>
      </c>
    </row>
    <row r="976" spans="1:9">
      <c r="A976">
        <v>100975</v>
      </c>
      <c r="B976" t="s">
        <v>185</v>
      </c>
      <c r="C976" t="s">
        <v>107</v>
      </c>
      <c r="D976">
        <v>75000</v>
      </c>
      <c r="E976">
        <v>117115</v>
      </c>
      <c r="F976">
        <v>25</v>
      </c>
      <c r="G976">
        <v>3.4</v>
      </c>
      <c r="H976">
        <v>1</v>
      </c>
      <c r="I976" t="s">
        <v>93</v>
      </c>
    </row>
    <row r="977" spans="1:9">
      <c r="A977">
        <v>100976</v>
      </c>
      <c r="B977" t="s">
        <v>288</v>
      </c>
      <c r="C977" t="s">
        <v>95</v>
      </c>
      <c r="D977">
        <v>150000</v>
      </c>
      <c r="E977">
        <v>164215</v>
      </c>
      <c r="F977">
        <v>29</v>
      </c>
      <c r="G977">
        <v>3.9</v>
      </c>
      <c r="H977">
        <v>6</v>
      </c>
      <c r="I977" t="s">
        <v>93</v>
      </c>
    </row>
    <row r="978" spans="1:9">
      <c r="A978">
        <v>100977</v>
      </c>
      <c r="B978" t="s">
        <v>330</v>
      </c>
      <c r="C978" t="s">
        <v>95</v>
      </c>
      <c r="D978">
        <v>50000</v>
      </c>
      <c r="E978">
        <v>122141</v>
      </c>
      <c r="F978">
        <v>26</v>
      </c>
      <c r="G978">
        <v>4.0999999999999996</v>
      </c>
      <c r="H978">
        <v>11</v>
      </c>
      <c r="I978" t="s">
        <v>93</v>
      </c>
    </row>
    <row r="979" spans="1:9">
      <c r="A979">
        <v>100978</v>
      </c>
      <c r="B979" t="s">
        <v>330</v>
      </c>
      <c r="C979" t="s">
        <v>111</v>
      </c>
      <c r="D979">
        <v>0</v>
      </c>
      <c r="E979">
        <v>164183</v>
      </c>
      <c r="F979">
        <v>19</v>
      </c>
      <c r="G979">
        <v>4.0999999999999996</v>
      </c>
      <c r="H979">
        <v>15</v>
      </c>
      <c r="I979" t="s">
        <v>93</v>
      </c>
    </row>
    <row r="980" spans="1:9">
      <c r="A980">
        <v>100979</v>
      </c>
      <c r="B980" t="s">
        <v>332</v>
      </c>
      <c r="C980" t="s">
        <v>92</v>
      </c>
      <c r="D980">
        <v>50000</v>
      </c>
      <c r="E980">
        <v>141409</v>
      </c>
      <c r="F980">
        <v>23</v>
      </c>
      <c r="G980">
        <v>4.4000000000000004</v>
      </c>
      <c r="H980">
        <v>10</v>
      </c>
      <c r="I980" t="s">
        <v>93</v>
      </c>
    </row>
    <row r="981" spans="1:9">
      <c r="A981">
        <v>100980</v>
      </c>
      <c r="B981" t="s">
        <v>101</v>
      </c>
      <c r="C981" t="s">
        <v>95</v>
      </c>
      <c r="D981">
        <v>100000</v>
      </c>
      <c r="E981">
        <v>70791</v>
      </c>
      <c r="F981">
        <v>24</v>
      </c>
      <c r="G981">
        <v>3.7</v>
      </c>
      <c r="H981">
        <v>1</v>
      </c>
      <c r="I981" t="s">
        <v>93</v>
      </c>
    </row>
    <row r="982" spans="1:9">
      <c r="A982">
        <v>100981</v>
      </c>
      <c r="B982" t="s">
        <v>185</v>
      </c>
      <c r="C982" t="s">
        <v>92</v>
      </c>
      <c r="D982">
        <v>50000</v>
      </c>
      <c r="E982">
        <v>91983</v>
      </c>
      <c r="F982">
        <v>22</v>
      </c>
      <c r="G982">
        <v>3.9</v>
      </c>
      <c r="H982">
        <v>2</v>
      </c>
      <c r="I982" t="s">
        <v>93</v>
      </c>
    </row>
    <row r="983" spans="1:9">
      <c r="A983">
        <v>100982</v>
      </c>
      <c r="B983" t="s">
        <v>224</v>
      </c>
      <c r="C983" t="s">
        <v>92</v>
      </c>
      <c r="D983">
        <v>150000</v>
      </c>
      <c r="E983">
        <v>128853</v>
      </c>
      <c r="F983">
        <v>28</v>
      </c>
      <c r="G983">
        <v>3.8</v>
      </c>
      <c r="H983">
        <v>3</v>
      </c>
      <c r="I983" t="s">
        <v>93</v>
      </c>
    </row>
    <row r="984" spans="1:9">
      <c r="A984">
        <v>100983</v>
      </c>
      <c r="B984" t="s">
        <v>306</v>
      </c>
      <c r="C984" t="s">
        <v>111</v>
      </c>
      <c r="D984">
        <v>50000</v>
      </c>
      <c r="E984">
        <v>62362</v>
      </c>
      <c r="F984">
        <v>22</v>
      </c>
      <c r="G984">
        <v>3.5</v>
      </c>
      <c r="H984">
        <v>5</v>
      </c>
      <c r="I984" t="s">
        <v>93</v>
      </c>
    </row>
    <row r="985" spans="1:9">
      <c r="A985">
        <v>100984</v>
      </c>
      <c r="B985" t="s">
        <v>307</v>
      </c>
      <c r="C985" t="s">
        <v>111</v>
      </c>
      <c r="D985">
        <v>150000</v>
      </c>
      <c r="E985">
        <v>30231</v>
      </c>
      <c r="F985">
        <v>19</v>
      </c>
      <c r="G985">
        <v>2.1</v>
      </c>
      <c r="H985">
        <v>11</v>
      </c>
      <c r="I985" t="s">
        <v>93</v>
      </c>
    </row>
    <row r="986" spans="1:9">
      <c r="A986">
        <v>100985</v>
      </c>
      <c r="B986" t="s">
        <v>104</v>
      </c>
      <c r="C986" t="s">
        <v>107</v>
      </c>
      <c r="D986">
        <v>50000</v>
      </c>
      <c r="E986">
        <v>60139</v>
      </c>
      <c r="F986">
        <v>30</v>
      </c>
      <c r="G986">
        <v>3.1</v>
      </c>
      <c r="H986">
        <v>5</v>
      </c>
      <c r="I986" t="s">
        <v>93</v>
      </c>
    </row>
    <row r="987" spans="1:9">
      <c r="A987">
        <v>100986</v>
      </c>
      <c r="B987" t="s">
        <v>159</v>
      </c>
      <c r="C987" t="s">
        <v>92</v>
      </c>
      <c r="D987">
        <v>100000</v>
      </c>
      <c r="E987">
        <v>160953</v>
      </c>
      <c r="F987">
        <v>18</v>
      </c>
      <c r="G987">
        <v>2.1</v>
      </c>
      <c r="H987">
        <v>11</v>
      </c>
      <c r="I987" t="s">
        <v>93</v>
      </c>
    </row>
    <row r="988" spans="1:9">
      <c r="A988">
        <v>100987</v>
      </c>
      <c r="B988" t="s">
        <v>292</v>
      </c>
      <c r="C988" t="s">
        <v>92</v>
      </c>
      <c r="D988">
        <v>150000</v>
      </c>
      <c r="E988">
        <v>151488</v>
      </c>
      <c r="F988">
        <v>24</v>
      </c>
      <c r="G988">
        <v>2.8</v>
      </c>
      <c r="H988">
        <v>4</v>
      </c>
      <c r="I988" t="s">
        <v>93</v>
      </c>
    </row>
    <row r="989" spans="1:9">
      <c r="A989">
        <v>100988</v>
      </c>
      <c r="B989" t="s">
        <v>171</v>
      </c>
      <c r="C989" t="s">
        <v>95</v>
      </c>
      <c r="D989">
        <v>120000</v>
      </c>
      <c r="E989">
        <v>87417</v>
      </c>
      <c r="F989">
        <v>25</v>
      </c>
      <c r="G989">
        <v>2.6</v>
      </c>
      <c r="H989">
        <v>12</v>
      </c>
      <c r="I989" t="s">
        <v>50</v>
      </c>
    </row>
    <row r="990" spans="1:9">
      <c r="A990">
        <v>100989</v>
      </c>
      <c r="B990" t="s">
        <v>327</v>
      </c>
      <c r="C990" t="s">
        <v>92</v>
      </c>
      <c r="D990">
        <v>150000</v>
      </c>
      <c r="E990">
        <v>30341</v>
      </c>
      <c r="F990">
        <v>20</v>
      </c>
      <c r="G990">
        <v>2.8</v>
      </c>
      <c r="H990">
        <v>9</v>
      </c>
      <c r="I990" t="s">
        <v>93</v>
      </c>
    </row>
    <row r="991" spans="1:9">
      <c r="A991">
        <v>100990</v>
      </c>
      <c r="B991" t="s">
        <v>313</v>
      </c>
      <c r="C991" t="s">
        <v>111</v>
      </c>
      <c r="D991">
        <v>50000</v>
      </c>
      <c r="E991">
        <v>43714</v>
      </c>
      <c r="F991">
        <v>27</v>
      </c>
      <c r="G991">
        <v>3.4</v>
      </c>
      <c r="H991">
        <v>3</v>
      </c>
      <c r="I991" t="s">
        <v>93</v>
      </c>
    </row>
    <row r="992" spans="1:9">
      <c r="A992">
        <v>100991</v>
      </c>
      <c r="B992" t="s">
        <v>240</v>
      </c>
      <c r="C992" t="s">
        <v>107</v>
      </c>
      <c r="D992">
        <v>75000</v>
      </c>
      <c r="E992">
        <v>171104</v>
      </c>
      <c r="F992">
        <v>21</v>
      </c>
      <c r="G992">
        <v>2</v>
      </c>
      <c r="H992">
        <v>9</v>
      </c>
      <c r="I992" t="s">
        <v>93</v>
      </c>
    </row>
    <row r="993" spans="1:9">
      <c r="A993">
        <v>100992</v>
      </c>
      <c r="B993" t="s">
        <v>304</v>
      </c>
      <c r="C993" t="s">
        <v>107</v>
      </c>
      <c r="D993">
        <v>0</v>
      </c>
      <c r="E993">
        <v>160366</v>
      </c>
      <c r="F993">
        <v>17</v>
      </c>
      <c r="G993">
        <v>2.9</v>
      </c>
      <c r="H993">
        <v>5</v>
      </c>
      <c r="I993" t="s">
        <v>93</v>
      </c>
    </row>
    <row r="994" spans="1:9">
      <c r="A994">
        <v>100993</v>
      </c>
      <c r="B994" t="s">
        <v>110</v>
      </c>
      <c r="C994" t="s">
        <v>92</v>
      </c>
      <c r="D994">
        <v>50000</v>
      </c>
      <c r="E994">
        <v>108559</v>
      </c>
      <c r="F994">
        <v>26</v>
      </c>
      <c r="G994">
        <v>3.6</v>
      </c>
      <c r="H994">
        <v>15</v>
      </c>
      <c r="I994" t="s">
        <v>93</v>
      </c>
    </row>
    <row r="995" spans="1:9">
      <c r="A995">
        <v>100994</v>
      </c>
      <c r="B995" t="s">
        <v>244</v>
      </c>
      <c r="C995" t="s">
        <v>95</v>
      </c>
      <c r="D995">
        <v>75000</v>
      </c>
      <c r="E995">
        <v>121938</v>
      </c>
      <c r="F995">
        <v>28</v>
      </c>
      <c r="G995">
        <v>2.2000000000000002</v>
      </c>
      <c r="H995">
        <v>6</v>
      </c>
      <c r="I995" t="s">
        <v>50</v>
      </c>
    </row>
    <row r="996" spans="1:9">
      <c r="A996">
        <v>100995</v>
      </c>
      <c r="B996" t="s">
        <v>213</v>
      </c>
      <c r="C996" t="s">
        <v>111</v>
      </c>
      <c r="D996">
        <v>50000</v>
      </c>
      <c r="E996">
        <v>129693</v>
      </c>
      <c r="F996">
        <v>29</v>
      </c>
      <c r="G996">
        <v>2.1</v>
      </c>
      <c r="H996">
        <v>12</v>
      </c>
      <c r="I996" t="s">
        <v>93</v>
      </c>
    </row>
    <row r="997" spans="1:9">
      <c r="A997">
        <v>100996</v>
      </c>
      <c r="B997" t="s">
        <v>211</v>
      </c>
      <c r="C997" t="s">
        <v>107</v>
      </c>
      <c r="D997">
        <v>120000</v>
      </c>
      <c r="E997">
        <v>141065</v>
      </c>
      <c r="F997">
        <v>30</v>
      </c>
      <c r="G997">
        <v>4.9000000000000004</v>
      </c>
      <c r="H997">
        <v>6</v>
      </c>
      <c r="I997" t="s">
        <v>93</v>
      </c>
    </row>
    <row r="998" spans="1:9">
      <c r="A998">
        <v>100997</v>
      </c>
      <c r="B998" t="s">
        <v>268</v>
      </c>
      <c r="C998" t="s">
        <v>92</v>
      </c>
      <c r="D998">
        <v>150000</v>
      </c>
      <c r="E998">
        <v>133595</v>
      </c>
      <c r="F998">
        <v>18</v>
      </c>
      <c r="G998">
        <v>2.2000000000000002</v>
      </c>
      <c r="H998">
        <v>4</v>
      </c>
      <c r="I998" t="s">
        <v>93</v>
      </c>
    </row>
    <row r="999" spans="1:9">
      <c r="A999">
        <v>100998</v>
      </c>
      <c r="B999" t="s">
        <v>193</v>
      </c>
      <c r="C999" t="s">
        <v>111</v>
      </c>
      <c r="D999">
        <v>50000</v>
      </c>
      <c r="E999">
        <v>163417</v>
      </c>
      <c r="F999">
        <v>27</v>
      </c>
      <c r="G999">
        <v>3.4</v>
      </c>
      <c r="H999">
        <v>0</v>
      </c>
      <c r="I999" t="s">
        <v>93</v>
      </c>
    </row>
    <row r="1000" spans="1:9">
      <c r="A1000">
        <v>100999</v>
      </c>
      <c r="B1000" t="s">
        <v>233</v>
      </c>
      <c r="C1000" t="s">
        <v>107</v>
      </c>
      <c r="D1000">
        <v>0</v>
      </c>
      <c r="E1000">
        <v>60716</v>
      </c>
      <c r="F1000">
        <v>15</v>
      </c>
      <c r="G1000">
        <v>3</v>
      </c>
      <c r="H1000">
        <v>2</v>
      </c>
      <c r="I1000" t="s">
        <v>93</v>
      </c>
    </row>
    <row r="1001" spans="1:9">
      <c r="A1001">
        <v>101000</v>
      </c>
      <c r="B1001" t="s">
        <v>147</v>
      </c>
      <c r="C1001" t="s">
        <v>111</v>
      </c>
      <c r="D1001">
        <v>75000</v>
      </c>
      <c r="E1001">
        <v>142288</v>
      </c>
      <c r="F1001">
        <v>25</v>
      </c>
      <c r="G1001">
        <v>4.8</v>
      </c>
      <c r="H1001">
        <v>9</v>
      </c>
      <c r="I100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9A56-A208-4711-9C18-9D2118130D87}">
  <dimension ref="A1:P1001"/>
  <sheetViews>
    <sheetView topLeftCell="A3" workbookViewId="0">
      <selection activeCell="L8" sqref="L8"/>
    </sheetView>
  </sheetViews>
  <sheetFormatPr defaultRowHeight="14.5"/>
  <cols>
    <col min="1" max="1" width="10.1796875" bestFit="1" customWidth="1"/>
    <col min="2" max="2" width="6.7265625" bestFit="1" customWidth="1"/>
    <col min="3" max="3" width="11.08984375" bestFit="1" customWidth="1"/>
    <col min="4" max="4" width="8.81640625" bestFit="1" customWidth="1"/>
    <col min="5" max="5" width="10.08984375" bestFit="1" customWidth="1"/>
    <col min="6" max="6" width="16.1796875" bestFit="1" customWidth="1"/>
    <col min="7" max="7" width="10.7265625" bestFit="1" customWidth="1"/>
    <col min="8" max="8" width="13.26953125" bestFit="1" customWidth="1"/>
    <col min="9" max="9" width="18.08984375" bestFit="1" customWidth="1"/>
    <col min="10" max="10" width="10.54296875" bestFit="1" customWidth="1"/>
    <col min="11" max="11" width="20.08984375" bestFit="1" customWidth="1"/>
    <col min="12" max="12" width="23.6328125" bestFit="1" customWidth="1"/>
    <col min="16" max="16" width="172.7265625" bestFit="1" customWidth="1"/>
  </cols>
  <sheetData>
    <row r="1" spans="1:16">
      <c r="A1" s="1" t="s">
        <v>82</v>
      </c>
      <c r="B1" s="1" t="s">
        <v>84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</row>
    <row r="2" spans="1:16">
      <c r="A2" t="s">
        <v>362</v>
      </c>
      <c r="B2" t="s">
        <v>363</v>
      </c>
      <c r="C2" t="s">
        <v>364</v>
      </c>
      <c r="D2" t="s">
        <v>365</v>
      </c>
      <c r="E2" t="s">
        <v>366</v>
      </c>
      <c r="G2">
        <v>290176</v>
      </c>
      <c r="H2">
        <v>45482</v>
      </c>
      <c r="I2">
        <v>1.7</v>
      </c>
      <c r="J2">
        <v>65</v>
      </c>
      <c r="K2">
        <v>2</v>
      </c>
      <c r="L2" t="s">
        <v>50</v>
      </c>
    </row>
    <row r="3" spans="1:16" ht="15.5">
      <c r="A3" t="s">
        <v>367</v>
      </c>
      <c r="B3" t="s">
        <v>368</v>
      </c>
      <c r="C3" t="s">
        <v>364</v>
      </c>
      <c r="D3" t="s">
        <v>369</v>
      </c>
      <c r="E3" t="s">
        <v>370</v>
      </c>
      <c r="F3" t="s">
        <v>371</v>
      </c>
      <c r="G3">
        <v>226131</v>
      </c>
      <c r="H3">
        <v>34390</v>
      </c>
      <c r="I3">
        <v>2</v>
      </c>
      <c r="J3">
        <v>60</v>
      </c>
      <c r="K3">
        <v>1</v>
      </c>
      <c r="L3" t="s">
        <v>50</v>
      </c>
      <c r="P3" s="18" t="s">
        <v>372</v>
      </c>
    </row>
    <row r="4" spans="1:16">
      <c r="A4" t="s">
        <v>373</v>
      </c>
      <c r="B4" t="s">
        <v>374</v>
      </c>
      <c r="C4" t="s">
        <v>375</v>
      </c>
      <c r="D4" t="s">
        <v>369</v>
      </c>
      <c r="E4" t="s">
        <v>376</v>
      </c>
      <c r="G4">
        <v>210141</v>
      </c>
      <c r="H4">
        <v>0</v>
      </c>
      <c r="I4">
        <v>4</v>
      </c>
      <c r="J4">
        <v>53</v>
      </c>
      <c r="K4">
        <v>3</v>
      </c>
      <c r="L4" t="s">
        <v>50</v>
      </c>
    </row>
    <row r="5" spans="1:16">
      <c r="A5" t="s">
        <v>377</v>
      </c>
      <c r="B5" t="s">
        <v>368</v>
      </c>
      <c r="C5" t="s">
        <v>364</v>
      </c>
      <c r="D5" t="s">
        <v>378</v>
      </c>
      <c r="E5" t="s">
        <v>379</v>
      </c>
      <c r="G5">
        <v>428211</v>
      </c>
      <c r="H5">
        <v>0</v>
      </c>
      <c r="I5">
        <v>3.9</v>
      </c>
      <c r="J5">
        <v>87</v>
      </c>
      <c r="K5">
        <v>0</v>
      </c>
      <c r="L5" t="s">
        <v>50</v>
      </c>
      <c r="P5" t="s">
        <v>380</v>
      </c>
    </row>
    <row r="6" spans="1:16">
      <c r="A6" t="s">
        <v>381</v>
      </c>
      <c r="B6" t="s">
        <v>363</v>
      </c>
      <c r="C6" t="s">
        <v>382</v>
      </c>
      <c r="D6" t="s">
        <v>383</v>
      </c>
      <c r="E6" t="s">
        <v>384</v>
      </c>
      <c r="F6" t="s">
        <v>385</v>
      </c>
      <c r="G6">
        <v>131652</v>
      </c>
      <c r="H6">
        <v>0</v>
      </c>
      <c r="I6">
        <v>4</v>
      </c>
      <c r="J6">
        <v>100</v>
      </c>
      <c r="K6">
        <v>0</v>
      </c>
      <c r="L6" t="s">
        <v>93</v>
      </c>
      <c r="P6" s="11"/>
    </row>
    <row r="7" spans="1:16">
      <c r="A7" t="s">
        <v>386</v>
      </c>
      <c r="B7" t="s">
        <v>374</v>
      </c>
      <c r="C7" t="s">
        <v>364</v>
      </c>
      <c r="D7" t="s">
        <v>387</v>
      </c>
      <c r="E7" t="s">
        <v>388</v>
      </c>
      <c r="G7">
        <v>78533</v>
      </c>
      <c r="H7">
        <v>0</v>
      </c>
      <c r="I7">
        <v>4</v>
      </c>
      <c r="J7">
        <v>69</v>
      </c>
      <c r="K7">
        <v>0</v>
      </c>
      <c r="L7" t="s">
        <v>50</v>
      </c>
      <c r="P7" s="11" t="s">
        <v>389</v>
      </c>
    </row>
    <row r="8" spans="1:16">
      <c r="A8" t="s">
        <v>390</v>
      </c>
      <c r="B8" t="s">
        <v>363</v>
      </c>
      <c r="C8" t="s">
        <v>4</v>
      </c>
      <c r="D8" t="s">
        <v>387</v>
      </c>
      <c r="E8" t="s">
        <v>391</v>
      </c>
      <c r="G8">
        <v>60148</v>
      </c>
      <c r="H8">
        <v>1706485</v>
      </c>
      <c r="I8">
        <v>2.2000000000000002</v>
      </c>
      <c r="J8">
        <v>86</v>
      </c>
      <c r="K8">
        <v>1</v>
      </c>
      <c r="L8" t="s">
        <v>50</v>
      </c>
      <c r="P8" s="11"/>
    </row>
    <row r="9" spans="1:16">
      <c r="A9" t="s">
        <v>392</v>
      </c>
      <c r="B9" t="s">
        <v>363</v>
      </c>
      <c r="C9" t="s">
        <v>4</v>
      </c>
      <c r="D9" t="s">
        <v>369</v>
      </c>
      <c r="E9" t="s">
        <v>393</v>
      </c>
      <c r="F9" t="s">
        <v>394</v>
      </c>
      <c r="G9">
        <v>181236</v>
      </c>
      <c r="H9">
        <v>526608</v>
      </c>
      <c r="I9">
        <v>1.4</v>
      </c>
      <c r="J9">
        <v>92</v>
      </c>
      <c r="K9">
        <v>0</v>
      </c>
      <c r="L9" t="s">
        <v>50</v>
      </c>
      <c r="P9" s="11" t="s">
        <v>395</v>
      </c>
    </row>
    <row r="10" spans="1:16">
      <c r="A10" t="s">
        <v>396</v>
      </c>
      <c r="B10" t="s">
        <v>363</v>
      </c>
      <c r="C10" t="s">
        <v>4</v>
      </c>
      <c r="D10" t="s">
        <v>387</v>
      </c>
      <c r="E10" t="s">
        <v>397</v>
      </c>
      <c r="G10">
        <v>71686</v>
      </c>
      <c r="H10">
        <v>1496216</v>
      </c>
      <c r="I10">
        <v>2</v>
      </c>
      <c r="J10">
        <v>81</v>
      </c>
      <c r="K10">
        <v>3</v>
      </c>
      <c r="L10" t="s">
        <v>50</v>
      </c>
      <c r="P10" s="11"/>
    </row>
    <row r="11" spans="1:16">
      <c r="A11" t="s">
        <v>398</v>
      </c>
      <c r="B11" t="s">
        <v>399</v>
      </c>
      <c r="C11" t="s">
        <v>375</v>
      </c>
      <c r="D11" t="s">
        <v>387</v>
      </c>
      <c r="E11" t="s">
        <v>400</v>
      </c>
      <c r="F11" t="s">
        <v>401</v>
      </c>
      <c r="G11">
        <v>68354</v>
      </c>
      <c r="H11">
        <v>0</v>
      </c>
      <c r="I11">
        <v>3.7</v>
      </c>
      <c r="J11">
        <v>59</v>
      </c>
      <c r="K11">
        <v>0</v>
      </c>
      <c r="L11" t="s">
        <v>50</v>
      </c>
      <c r="P11" s="19" t="s">
        <v>402</v>
      </c>
    </row>
    <row r="12" spans="1:16">
      <c r="A12" t="s">
        <v>403</v>
      </c>
      <c r="B12" t="s">
        <v>374</v>
      </c>
      <c r="C12" t="s">
        <v>382</v>
      </c>
      <c r="D12" t="s">
        <v>369</v>
      </c>
      <c r="E12" t="s">
        <v>404</v>
      </c>
      <c r="G12">
        <v>168891</v>
      </c>
      <c r="H12">
        <v>0</v>
      </c>
      <c r="I12">
        <v>2.8</v>
      </c>
      <c r="J12">
        <v>90</v>
      </c>
      <c r="K12">
        <v>1</v>
      </c>
      <c r="L12" t="s">
        <v>50</v>
      </c>
      <c r="P12" s="11"/>
    </row>
    <row r="13" spans="1:16">
      <c r="A13" t="s">
        <v>405</v>
      </c>
      <c r="B13" t="s">
        <v>363</v>
      </c>
      <c r="C13" t="s">
        <v>364</v>
      </c>
      <c r="D13" t="s">
        <v>383</v>
      </c>
      <c r="E13" t="s">
        <v>406</v>
      </c>
      <c r="G13">
        <v>127930</v>
      </c>
      <c r="H13">
        <v>0</v>
      </c>
      <c r="I13">
        <v>2.4</v>
      </c>
      <c r="J13">
        <v>68</v>
      </c>
      <c r="K13">
        <v>3</v>
      </c>
      <c r="L13" t="s">
        <v>50</v>
      </c>
      <c r="P13" s="11" t="s">
        <v>407</v>
      </c>
    </row>
    <row r="14" spans="1:16">
      <c r="A14" t="s">
        <v>408</v>
      </c>
      <c r="B14" t="s">
        <v>363</v>
      </c>
      <c r="C14" t="s">
        <v>4</v>
      </c>
      <c r="D14" t="s">
        <v>387</v>
      </c>
      <c r="E14" t="s">
        <v>409</v>
      </c>
      <c r="G14">
        <v>70906</v>
      </c>
      <c r="H14">
        <v>1265303</v>
      </c>
      <c r="I14">
        <v>1.6</v>
      </c>
      <c r="J14">
        <v>57</v>
      </c>
      <c r="K14">
        <v>0</v>
      </c>
      <c r="L14" t="s">
        <v>93</v>
      </c>
      <c r="P14" s="11"/>
    </row>
    <row r="15" spans="1:16">
      <c r="A15" t="s">
        <v>410</v>
      </c>
      <c r="B15" t="s">
        <v>374</v>
      </c>
      <c r="C15" t="s">
        <v>4</v>
      </c>
      <c r="D15" t="s">
        <v>387</v>
      </c>
      <c r="E15" t="s">
        <v>411</v>
      </c>
      <c r="G15">
        <v>50556</v>
      </c>
      <c r="H15">
        <v>1547751</v>
      </c>
      <c r="I15">
        <v>1.1000000000000001</v>
      </c>
      <c r="J15">
        <v>47</v>
      </c>
      <c r="K15">
        <v>1</v>
      </c>
      <c r="L15" t="s">
        <v>50</v>
      </c>
      <c r="P15" s="11" t="s">
        <v>412</v>
      </c>
    </row>
    <row r="16" spans="1:16">
      <c r="A16" t="s">
        <v>413</v>
      </c>
      <c r="B16" t="s">
        <v>399</v>
      </c>
      <c r="C16" t="s">
        <v>375</v>
      </c>
      <c r="D16" t="s">
        <v>369</v>
      </c>
      <c r="E16" t="s">
        <v>414</v>
      </c>
      <c r="F16" t="s">
        <v>415</v>
      </c>
      <c r="G16">
        <v>149172</v>
      </c>
      <c r="H16">
        <v>0</v>
      </c>
      <c r="I16">
        <v>1.7</v>
      </c>
      <c r="J16">
        <v>47</v>
      </c>
      <c r="K16">
        <v>2</v>
      </c>
      <c r="L16" t="s">
        <v>50</v>
      </c>
    </row>
    <row r="17" spans="1:16" ht="15.5">
      <c r="A17" t="s">
        <v>416</v>
      </c>
      <c r="B17" t="s">
        <v>374</v>
      </c>
      <c r="C17" t="s">
        <v>364</v>
      </c>
      <c r="D17" t="s">
        <v>417</v>
      </c>
      <c r="E17" t="s">
        <v>418</v>
      </c>
      <c r="G17">
        <v>341460</v>
      </c>
      <c r="H17">
        <v>0</v>
      </c>
      <c r="I17">
        <v>3.1</v>
      </c>
      <c r="J17">
        <v>42</v>
      </c>
      <c r="K17">
        <v>0</v>
      </c>
      <c r="L17" t="s">
        <v>93</v>
      </c>
      <c r="P17" s="18" t="s">
        <v>419</v>
      </c>
    </row>
    <row r="18" spans="1:16">
      <c r="A18" t="s">
        <v>420</v>
      </c>
      <c r="B18" t="s">
        <v>374</v>
      </c>
      <c r="C18" t="s">
        <v>364</v>
      </c>
      <c r="D18" t="s">
        <v>387</v>
      </c>
      <c r="E18" t="s">
        <v>421</v>
      </c>
      <c r="G18">
        <v>64913</v>
      </c>
      <c r="H18">
        <v>0</v>
      </c>
      <c r="I18">
        <v>2</v>
      </c>
      <c r="J18">
        <v>98</v>
      </c>
      <c r="K18">
        <v>1</v>
      </c>
      <c r="L18" t="s">
        <v>50</v>
      </c>
    </row>
    <row r="19" spans="1:16">
      <c r="A19" t="s">
        <v>422</v>
      </c>
      <c r="B19" t="s">
        <v>374</v>
      </c>
      <c r="C19" t="s">
        <v>4</v>
      </c>
      <c r="D19" t="s">
        <v>417</v>
      </c>
      <c r="E19" t="s">
        <v>423</v>
      </c>
      <c r="G19">
        <v>294530</v>
      </c>
      <c r="H19">
        <v>283931</v>
      </c>
      <c r="I19">
        <v>4</v>
      </c>
      <c r="J19">
        <v>81</v>
      </c>
      <c r="K19">
        <v>0</v>
      </c>
      <c r="L19" t="s">
        <v>50</v>
      </c>
      <c r="P19" t="s">
        <v>424</v>
      </c>
    </row>
    <row r="20" spans="1:16">
      <c r="A20" t="s">
        <v>425</v>
      </c>
      <c r="B20" t="s">
        <v>399</v>
      </c>
      <c r="C20" t="s">
        <v>364</v>
      </c>
      <c r="D20" t="s">
        <v>369</v>
      </c>
      <c r="E20" t="s">
        <v>426</v>
      </c>
      <c r="G20">
        <v>152883</v>
      </c>
      <c r="H20">
        <v>0</v>
      </c>
      <c r="I20">
        <v>3.8</v>
      </c>
      <c r="J20">
        <v>94</v>
      </c>
      <c r="K20">
        <v>0</v>
      </c>
      <c r="L20" t="s">
        <v>50</v>
      </c>
      <c r="P20" s="11"/>
    </row>
    <row r="21" spans="1:16">
      <c r="A21" t="s">
        <v>427</v>
      </c>
      <c r="B21" t="s">
        <v>374</v>
      </c>
      <c r="C21" t="s">
        <v>375</v>
      </c>
      <c r="D21" t="s">
        <v>417</v>
      </c>
      <c r="E21" t="s">
        <v>428</v>
      </c>
      <c r="F21" t="s">
        <v>429</v>
      </c>
      <c r="G21">
        <v>358190</v>
      </c>
      <c r="H21">
        <v>24508</v>
      </c>
      <c r="I21">
        <v>1.8</v>
      </c>
      <c r="J21">
        <v>88</v>
      </c>
      <c r="K21">
        <v>1</v>
      </c>
      <c r="L21" t="s">
        <v>50</v>
      </c>
      <c r="P21" s="11" t="s">
        <v>430</v>
      </c>
    </row>
    <row r="22" spans="1:16">
      <c r="A22" t="s">
        <v>431</v>
      </c>
      <c r="B22" t="s">
        <v>399</v>
      </c>
      <c r="C22" t="s">
        <v>364</v>
      </c>
      <c r="D22" t="s">
        <v>378</v>
      </c>
      <c r="E22" t="s">
        <v>432</v>
      </c>
      <c r="F22" t="s">
        <v>433</v>
      </c>
      <c r="G22">
        <v>360724</v>
      </c>
      <c r="H22">
        <v>0</v>
      </c>
      <c r="I22">
        <v>1.4</v>
      </c>
      <c r="J22">
        <v>45</v>
      </c>
      <c r="K22">
        <v>1</v>
      </c>
      <c r="L22" t="s">
        <v>50</v>
      </c>
      <c r="P22" s="11"/>
    </row>
    <row r="23" spans="1:16">
      <c r="A23" t="s">
        <v>434</v>
      </c>
      <c r="B23" t="s">
        <v>399</v>
      </c>
      <c r="C23" t="s">
        <v>382</v>
      </c>
      <c r="D23" t="s">
        <v>387</v>
      </c>
      <c r="E23" t="s">
        <v>435</v>
      </c>
      <c r="G23">
        <v>63080</v>
      </c>
      <c r="H23">
        <v>0</v>
      </c>
      <c r="I23">
        <v>2.2000000000000002</v>
      </c>
      <c r="J23">
        <v>55</v>
      </c>
      <c r="K23">
        <v>0</v>
      </c>
      <c r="L23" t="s">
        <v>50</v>
      </c>
      <c r="P23" s="11"/>
    </row>
    <row r="24" spans="1:16">
      <c r="A24" t="s">
        <v>436</v>
      </c>
      <c r="B24" t="s">
        <v>374</v>
      </c>
      <c r="C24" t="s">
        <v>382</v>
      </c>
      <c r="D24" t="s">
        <v>437</v>
      </c>
      <c r="E24" t="s">
        <v>438</v>
      </c>
      <c r="G24">
        <v>271662</v>
      </c>
      <c r="H24">
        <v>22787</v>
      </c>
      <c r="I24">
        <v>4.8</v>
      </c>
      <c r="J24">
        <v>90</v>
      </c>
      <c r="K24">
        <v>0</v>
      </c>
      <c r="L24" t="s">
        <v>50</v>
      </c>
      <c r="P24" s="17"/>
    </row>
    <row r="25" spans="1:16">
      <c r="A25" t="s">
        <v>439</v>
      </c>
      <c r="B25" t="s">
        <v>368</v>
      </c>
      <c r="C25" t="s">
        <v>4</v>
      </c>
      <c r="D25" t="s">
        <v>417</v>
      </c>
      <c r="E25" t="s">
        <v>440</v>
      </c>
      <c r="G25">
        <v>384040</v>
      </c>
      <c r="H25">
        <v>2494877</v>
      </c>
      <c r="I25">
        <v>4.9000000000000004</v>
      </c>
      <c r="J25">
        <v>57</v>
      </c>
      <c r="K25">
        <v>2</v>
      </c>
      <c r="L25" t="s">
        <v>50</v>
      </c>
      <c r="P25" s="17" t="s">
        <v>441</v>
      </c>
    </row>
    <row r="26" spans="1:16">
      <c r="A26" t="s">
        <v>442</v>
      </c>
      <c r="B26" t="s">
        <v>368</v>
      </c>
      <c r="C26" t="s">
        <v>382</v>
      </c>
      <c r="D26" t="s">
        <v>378</v>
      </c>
      <c r="E26" t="s">
        <v>443</v>
      </c>
      <c r="F26" t="s">
        <v>444</v>
      </c>
      <c r="G26">
        <v>297339</v>
      </c>
      <c r="H26">
        <v>0</v>
      </c>
      <c r="I26">
        <v>1.7</v>
      </c>
      <c r="J26">
        <v>66</v>
      </c>
      <c r="K26">
        <v>0</v>
      </c>
      <c r="L26" t="s">
        <v>50</v>
      </c>
      <c r="P26" s="17"/>
    </row>
    <row r="27" spans="1:16">
      <c r="A27" t="s">
        <v>445</v>
      </c>
      <c r="B27" t="s">
        <v>363</v>
      </c>
      <c r="C27" t="s">
        <v>4</v>
      </c>
      <c r="D27" t="s">
        <v>383</v>
      </c>
      <c r="E27" t="s">
        <v>446</v>
      </c>
      <c r="G27">
        <v>97294</v>
      </c>
      <c r="H27">
        <v>2190904</v>
      </c>
      <c r="I27">
        <v>2.2000000000000002</v>
      </c>
      <c r="J27">
        <v>84</v>
      </c>
      <c r="K27">
        <v>1</v>
      </c>
      <c r="L27" t="s">
        <v>50</v>
      </c>
      <c r="P27" s="17" t="s">
        <v>447</v>
      </c>
    </row>
    <row r="28" spans="1:16">
      <c r="A28" t="s">
        <v>448</v>
      </c>
      <c r="B28" t="s">
        <v>368</v>
      </c>
      <c r="C28" t="s">
        <v>4</v>
      </c>
      <c r="D28" t="s">
        <v>417</v>
      </c>
      <c r="E28" t="s">
        <v>433</v>
      </c>
      <c r="G28">
        <v>206195</v>
      </c>
      <c r="H28">
        <v>2456549</v>
      </c>
      <c r="I28">
        <v>3.5</v>
      </c>
      <c r="J28">
        <v>57</v>
      </c>
      <c r="K28">
        <v>0</v>
      </c>
      <c r="L28" t="s">
        <v>50</v>
      </c>
      <c r="P28" s="17"/>
    </row>
    <row r="29" spans="1:16">
      <c r="A29" t="s">
        <v>449</v>
      </c>
      <c r="B29" t="s">
        <v>363</v>
      </c>
      <c r="C29" t="s">
        <v>364</v>
      </c>
      <c r="D29" t="s">
        <v>387</v>
      </c>
      <c r="E29" t="s">
        <v>450</v>
      </c>
      <c r="G29">
        <v>49130</v>
      </c>
      <c r="H29">
        <v>0</v>
      </c>
      <c r="I29">
        <v>4.7</v>
      </c>
      <c r="J29">
        <v>99</v>
      </c>
      <c r="K29">
        <v>0</v>
      </c>
      <c r="L29" t="s">
        <v>50</v>
      </c>
      <c r="P29" s="17" t="s">
        <v>451</v>
      </c>
    </row>
    <row r="30" spans="1:16">
      <c r="A30" t="s">
        <v>452</v>
      </c>
      <c r="B30" t="s">
        <v>399</v>
      </c>
      <c r="C30" t="s">
        <v>364</v>
      </c>
      <c r="D30" t="s">
        <v>365</v>
      </c>
      <c r="E30" t="s">
        <v>453</v>
      </c>
      <c r="F30" t="s">
        <v>454</v>
      </c>
      <c r="G30">
        <v>231824</v>
      </c>
      <c r="H30">
        <v>0</v>
      </c>
      <c r="I30">
        <v>3</v>
      </c>
      <c r="J30">
        <v>70</v>
      </c>
      <c r="K30">
        <v>0</v>
      </c>
      <c r="L30" t="s">
        <v>50</v>
      </c>
      <c r="P30" s="11"/>
    </row>
    <row r="31" spans="1:16">
      <c r="A31" t="s">
        <v>455</v>
      </c>
      <c r="B31" t="s">
        <v>368</v>
      </c>
      <c r="C31" t="s">
        <v>364</v>
      </c>
      <c r="D31" t="s">
        <v>378</v>
      </c>
      <c r="E31" t="s">
        <v>456</v>
      </c>
      <c r="G31">
        <v>414848</v>
      </c>
      <c r="H31">
        <v>0</v>
      </c>
      <c r="I31">
        <v>2.4</v>
      </c>
      <c r="J31">
        <v>63</v>
      </c>
      <c r="K31">
        <v>2</v>
      </c>
      <c r="L31" t="s">
        <v>50</v>
      </c>
      <c r="P31" s="11" t="s">
        <v>457</v>
      </c>
    </row>
    <row r="32" spans="1:16">
      <c r="A32" t="s">
        <v>458</v>
      </c>
      <c r="B32" t="s">
        <v>368</v>
      </c>
      <c r="C32" t="s">
        <v>4</v>
      </c>
      <c r="D32" t="s">
        <v>387</v>
      </c>
      <c r="E32" t="s">
        <v>459</v>
      </c>
      <c r="F32" t="s">
        <v>460</v>
      </c>
      <c r="G32">
        <v>70298</v>
      </c>
      <c r="H32">
        <v>961056</v>
      </c>
      <c r="I32">
        <v>1.7</v>
      </c>
      <c r="J32">
        <v>40</v>
      </c>
      <c r="K32">
        <v>1</v>
      </c>
      <c r="L32" t="s">
        <v>50</v>
      </c>
      <c r="P32" s="11"/>
    </row>
    <row r="33" spans="1:16">
      <c r="A33" t="s">
        <v>461</v>
      </c>
      <c r="B33" t="s">
        <v>363</v>
      </c>
      <c r="C33" t="s">
        <v>4</v>
      </c>
      <c r="D33" t="s">
        <v>387</v>
      </c>
      <c r="E33" t="s">
        <v>462</v>
      </c>
      <c r="G33">
        <v>72481</v>
      </c>
      <c r="H33">
        <v>1235741</v>
      </c>
      <c r="I33">
        <v>4.0999999999999996</v>
      </c>
      <c r="J33">
        <v>62</v>
      </c>
      <c r="K33">
        <v>0</v>
      </c>
      <c r="L33" t="s">
        <v>50</v>
      </c>
      <c r="P33" s="11"/>
    </row>
    <row r="34" spans="1:16">
      <c r="A34" t="s">
        <v>463</v>
      </c>
      <c r="B34" t="s">
        <v>368</v>
      </c>
      <c r="C34" t="s">
        <v>364</v>
      </c>
      <c r="D34" t="s">
        <v>383</v>
      </c>
      <c r="E34" t="s">
        <v>464</v>
      </c>
      <c r="G34">
        <v>90224</v>
      </c>
      <c r="H34">
        <v>37188</v>
      </c>
      <c r="I34">
        <v>1.5</v>
      </c>
      <c r="J34">
        <v>97</v>
      </c>
      <c r="K34">
        <v>0</v>
      </c>
      <c r="L34" t="s">
        <v>50</v>
      </c>
      <c r="P34" s="17"/>
    </row>
    <row r="35" spans="1:16">
      <c r="A35" t="s">
        <v>465</v>
      </c>
      <c r="B35" t="s">
        <v>374</v>
      </c>
      <c r="C35" t="s">
        <v>364</v>
      </c>
      <c r="D35" t="s">
        <v>369</v>
      </c>
      <c r="E35" t="s">
        <v>466</v>
      </c>
      <c r="G35">
        <v>219888</v>
      </c>
      <c r="H35">
        <v>24083</v>
      </c>
      <c r="I35">
        <v>1.2</v>
      </c>
      <c r="J35">
        <v>92</v>
      </c>
      <c r="K35">
        <v>2</v>
      </c>
      <c r="L35" t="s">
        <v>93</v>
      </c>
      <c r="P35" s="17" t="s">
        <v>467</v>
      </c>
    </row>
    <row r="36" spans="1:16">
      <c r="A36" t="s">
        <v>468</v>
      </c>
      <c r="B36" t="s">
        <v>363</v>
      </c>
      <c r="C36" t="s">
        <v>382</v>
      </c>
      <c r="D36" t="s">
        <v>417</v>
      </c>
      <c r="E36" t="s">
        <v>469</v>
      </c>
      <c r="G36">
        <v>352800</v>
      </c>
      <c r="H36">
        <v>0</v>
      </c>
      <c r="I36">
        <v>2.8</v>
      </c>
      <c r="J36">
        <v>72</v>
      </c>
      <c r="K36">
        <v>1</v>
      </c>
      <c r="L36" t="s">
        <v>50</v>
      </c>
      <c r="P36" s="17"/>
    </row>
    <row r="37" spans="1:16">
      <c r="A37" t="s">
        <v>470</v>
      </c>
      <c r="B37" t="s">
        <v>368</v>
      </c>
      <c r="C37" t="s">
        <v>4</v>
      </c>
      <c r="D37" t="s">
        <v>387</v>
      </c>
      <c r="E37" t="s">
        <v>471</v>
      </c>
      <c r="G37">
        <v>61973</v>
      </c>
      <c r="H37">
        <v>606796</v>
      </c>
      <c r="I37">
        <v>2.8</v>
      </c>
      <c r="J37">
        <v>49</v>
      </c>
      <c r="K37">
        <v>0</v>
      </c>
      <c r="L37" t="s">
        <v>50</v>
      </c>
      <c r="P37" s="17" t="s">
        <v>472</v>
      </c>
    </row>
    <row r="38" spans="1:16">
      <c r="A38" t="s">
        <v>473</v>
      </c>
      <c r="B38" t="s">
        <v>368</v>
      </c>
      <c r="C38" t="s">
        <v>364</v>
      </c>
      <c r="D38" t="s">
        <v>417</v>
      </c>
      <c r="E38" t="s">
        <v>474</v>
      </c>
      <c r="G38">
        <v>323790</v>
      </c>
      <c r="H38">
        <v>0</v>
      </c>
      <c r="I38">
        <v>2.4</v>
      </c>
      <c r="J38">
        <v>92</v>
      </c>
      <c r="K38">
        <v>0</v>
      </c>
      <c r="L38" t="s">
        <v>50</v>
      </c>
      <c r="P38" s="17"/>
    </row>
    <row r="39" spans="1:16">
      <c r="A39" t="s">
        <v>475</v>
      </c>
      <c r="B39" t="s">
        <v>374</v>
      </c>
      <c r="C39" t="s">
        <v>382</v>
      </c>
      <c r="D39" t="s">
        <v>365</v>
      </c>
      <c r="E39" t="s">
        <v>476</v>
      </c>
      <c r="G39">
        <v>204980</v>
      </c>
      <c r="H39">
        <v>0</v>
      </c>
      <c r="I39">
        <v>2.8</v>
      </c>
      <c r="J39">
        <v>81</v>
      </c>
      <c r="K39">
        <v>0</v>
      </c>
      <c r="L39" t="s">
        <v>93</v>
      </c>
      <c r="P39" s="17" t="s">
        <v>451</v>
      </c>
    </row>
    <row r="40" spans="1:16">
      <c r="A40" t="s">
        <v>477</v>
      </c>
      <c r="B40" t="s">
        <v>399</v>
      </c>
      <c r="C40" t="s">
        <v>375</v>
      </c>
      <c r="D40" t="s">
        <v>383</v>
      </c>
      <c r="E40" t="s">
        <v>478</v>
      </c>
      <c r="G40">
        <v>82626</v>
      </c>
      <c r="H40">
        <v>0</v>
      </c>
      <c r="I40">
        <v>3.2</v>
      </c>
      <c r="J40">
        <v>60</v>
      </c>
      <c r="K40">
        <v>1</v>
      </c>
      <c r="L40" t="s">
        <v>50</v>
      </c>
      <c r="P40" s="11"/>
    </row>
    <row r="41" spans="1:16">
      <c r="A41" t="s">
        <v>479</v>
      </c>
      <c r="B41" t="s">
        <v>363</v>
      </c>
      <c r="C41" t="s">
        <v>4</v>
      </c>
      <c r="D41" t="s">
        <v>369</v>
      </c>
      <c r="E41" t="s">
        <v>480</v>
      </c>
      <c r="G41">
        <v>239781</v>
      </c>
      <c r="H41">
        <v>1008549</v>
      </c>
      <c r="I41">
        <v>4.7</v>
      </c>
      <c r="J41">
        <v>99</v>
      </c>
      <c r="K41">
        <v>0</v>
      </c>
      <c r="L41" t="s">
        <v>50</v>
      </c>
      <c r="P41" s="15" t="s">
        <v>481</v>
      </c>
    </row>
    <row r="42" spans="1:16">
      <c r="A42" t="s">
        <v>482</v>
      </c>
      <c r="B42" t="s">
        <v>399</v>
      </c>
      <c r="C42" t="s">
        <v>375</v>
      </c>
      <c r="D42" t="s">
        <v>437</v>
      </c>
      <c r="E42" t="s">
        <v>483</v>
      </c>
      <c r="F42" t="s">
        <v>484</v>
      </c>
      <c r="G42">
        <v>288888</v>
      </c>
      <c r="H42">
        <v>0</v>
      </c>
      <c r="I42">
        <v>1.4</v>
      </c>
      <c r="J42">
        <v>83</v>
      </c>
      <c r="K42">
        <v>3</v>
      </c>
      <c r="L42" t="s">
        <v>50</v>
      </c>
    </row>
    <row r="43" spans="1:16" ht="15.5">
      <c r="A43" t="s">
        <v>485</v>
      </c>
      <c r="B43" t="s">
        <v>363</v>
      </c>
      <c r="C43" t="s">
        <v>382</v>
      </c>
      <c r="D43" t="s">
        <v>369</v>
      </c>
      <c r="E43" t="s">
        <v>486</v>
      </c>
      <c r="G43">
        <v>149430</v>
      </c>
      <c r="H43">
        <v>0</v>
      </c>
      <c r="I43">
        <v>3.6</v>
      </c>
      <c r="J43">
        <v>44</v>
      </c>
      <c r="K43">
        <v>1</v>
      </c>
      <c r="L43" t="s">
        <v>50</v>
      </c>
      <c r="P43" s="18" t="s">
        <v>487</v>
      </c>
    </row>
    <row r="44" spans="1:16">
      <c r="A44" t="s">
        <v>488</v>
      </c>
      <c r="B44" t="s">
        <v>374</v>
      </c>
      <c r="C44" t="s">
        <v>375</v>
      </c>
      <c r="D44" t="s">
        <v>383</v>
      </c>
      <c r="E44" t="s">
        <v>489</v>
      </c>
      <c r="G44">
        <v>147280</v>
      </c>
      <c r="H44">
        <v>0</v>
      </c>
      <c r="I44">
        <v>2.9</v>
      </c>
      <c r="J44">
        <v>68</v>
      </c>
      <c r="K44">
        <v>1</v>
      </c>
      <c r="L44" t="s">
        <v>93</v>
      </c>
    </row>
    <row r="45" spans="1:16">
      <c r="A45" t="s">
        <v>490</v>
      </c>
      <c r="B45" t="s">
        <v>399</v>
      </c>
      <c r="C45" t="s">
        <v>382</v>
      </c>
      <c r="D45" t="s">
        <v>437</v>
      </c>
      <c r="E45" t="s">
        <v>491</v>
      </c>
      <c r="G45">
        <v>391236</v>
      </c>
      <c r="H45">
        <v>0</v>
      </c>
      <c r="I45">
        <v>2</v>
      </c>
      <c r="J45">
        <v>92</v>
      </c>
      <c r="K45">
        <v>0</v>
      </c>
      <c r="L45" t="s">
        <v>50</v>
      </c>
      <c r="P45" t="s">
        <v>492</v>
      </c>
    </row>
    <row r="46" spans="1:16">
      <c r="A46" t="s">
        <v>493</v>
      </c>
      <c r="B46" t="s">
        <v>399</v>
      </c>
      <c r="C46" t="s">
        <v>364</v>
      </c>
      <c r="D46" t="s">
        <v>383</v>
      </c>
      <c r="E46" t="s">
        <v>494</v>
      </c>
      <c r="G46">
        <v>125242</v>
      </c>
      <c r="H46">
        <v>27065</v>
      </c>
      <c r="I46">
        <v>1.2</v>
      </c>
      <c r="J46">
        <v>83</v>
      </c>
      <c r="K46">
        <v>0</v>
      </c>
      <c r="L46" t="s">
        <v>93</v>
      </c>
      <c r="P46" s="11"/>
    </row>
    <row r="47" spans="1:16">
      <c r="A47" t="s">
        <v>495</v>
      </c>
      <c r="B47" t="s">
        <v>363</v>
      </c>
      <c r="C47" t="s">
        <v>364</v>
      </c>
      <c r="D47" t="s">
        <v>378</v>
      </c>
      <c r="E47" t="s">
        <v>496</v>
      </c>
      <c r="G47">
        <v>510902</v>
      </c>
      <c r="H47">
        <v>28475</v>
      </c>
      <c r="I47">
        <v>1.2</v>
      </c>
      <c r="J47">
        <v>80</v>
      </c>
      <c r="K47">
        <v>0</v>
      </c>
      <c r="L47" t="s">
        <v>50</v>
      </c>
      <c r="P47" s="11" t="s">
        <v>497</v>
      </c>
    </row>
    <row r="48" spans="1:16">
      <c r="A48" t="s">
        <v>498</v>
      </c>
      <c r="B48" t="s">
        <v>363</v>
      </c>
      <c r="C48" t="s">
        <v>375</v>
      </c>
      <c r="D48" t="s">
        <v>383</v>
      </c>
      <c r="E48" t="s">
        <v>499</v>
      </c>
      <c r="G48">
        <v>146864</v>
      </c>
      <c r="H48">
        <v>11458</v>
      </c>
      <c r="I48">
        <v>4.8</v>
      </c>
      <c r="J48">
        <v>71</v>
      </c>
      <c r="K48">
        <v>1</v>
      </c>
      <c r="L48" t="s">
        <v>50</v>
      </c>
      <c r="P48" s="11"/>
    </row>
    <row r="49" spans="1:16">
      <c r="A49" t="s">
        <v>500</v>
      </c>
      <c r="B49" t="s">
        <v>368</v>
      </c>
      <c r="C49" t="s">
        <v>375</v>
      </c>
      <c r="D49" t="s">
        <v>437</v>
      </c>
      <c r="E49" t="s">
        <v>501</v>
      </c>
      <c r="G49">
        <v>472926</v>
      </c>
      <c r="H49">
        <v>0</v>
      </c>
      <c r="I49">
        <v>2.9</v>
      </c>
      <c r="J49">
        <v>60</v>
      </c>
      <c r="K49">
        <v>1</v>
      </c>
      <c r="L49" t="s">
        <v>50</v>
      </c>
      <c r="P49" s="11" t="s">
        <v>502</v>
      </c>
    </row>
    <row r="50" spans="1:16">
      <c r="A50" t="s">
        <v>503</v>
      </c>
      <c r="B50" t="s">
        <v>368</v>
      </c>
      <c r="C50" t="s">
        <v>382</v>
      </c>
      <c r="D50" t="s">
        <v>383</v>
      </c>
      <c r="E50" t="s">
        <v>504</v>
      </c>
      <c r="G50">
        <v>151198</v>
      </c>
      <c r="H50">
        <v>0</v>
      </c>
      <c r="I50">
        <v>3.5</v>
      </c>
      <c r="J50">
        <v>68</v>
      </c>
      <c r="K50">
        <v>0</v>
      </c>
      <c r="L50" t="s">
        <v>50</v>
      </c>
      <c r="P50" s="11"/>
    </row>
    <row r="51" spans="1:16">
      <c r="A51" t="s">
        <v>505</v>
      </c>
      <c r="B51" t="s">
        <v>399</v>
      </c>
      <c r="C51" t="s">
        <v>375</v>
      </c>
      <c r="D51" t="s">
        <v>365</v>
      </c>
      <c r="E51" t="s">
        <v>506</v>
      </c>
      <c r="G51">
        <v>262896</v>
      </c>
      <c r="H51">
        <v>0</v>
      </c>
      <c r="I51">
        <v>1.3</v>
      </c>
      <c r="J51">
        <v>86</v>
      </c>
      <c r="K51">
        <v>0</v>
      </c>
      <c r="L51" t="s">
        <v>93</v>
      </c>
      <c r="P51" s="11" t="s">
        <v>507</v>
      </c>
    </row>
    <row r="52" spans="1:16">
      <c r="A52" t="s">
        <v>508</v>
      </c>
      <c r="B52" t="s">
        <v>368</v>
      </c>
      <c r="C52" t="s">
        <v>364</v>
      </c>
      <c r="D52" t="s">
        <v>378</v>
      </c>
      <c r="E52" t="s">
        <v>509</v>
      </c>
      <c r="G52">
        <v>357917</v>
      </c>
      <c r="H52">
        <v>0</v>
      </c>
      <c r="I52">
        <v>1.7</v>
      </c>
      <c r="J52">
        <v>91</v>
      </c>
      <c r="K52">
        <v>0</v>
      </c>
      <c r="L52" t="s">
        <v>93</v>
      </c>
      <c r="P52" s="11"/>
    </row>
    <row r="53" spans="1:16">
      <c r="A53" t="s">
        <v>510</v>
      </c>
      <c r="B53" t="s">
        <v>363</v>
      </c>
      <c r="C53" t="s">
        <v>364</v>
      </c>
      <c r="D53" t="s">
        <v>437</v>
      </c>
      <c r="E53" t="s">
        <v>511</v>
      </c>
      <c r="G53">
        <v>473142</v>
      </c>
      <c r="H53">
        <v>17045</v>
      </c>
      <c r="I53">
        <v>2.2000000000000002</v>
      </c>
      <c r="J53">
        <v>94</v>
      </c>
      <c r="K53">
        <v>1</v>
      </c>
      <c r="L53" t="s">
        <v>50</v>
      </c>
      <c r="P53" s="11" t="s">
        <v>512</v>
      </c>
    </row>
    <row r="54" spans="1:16">
      <c r="A54" t="s">
        <v>513</v>
      </c>
      <c r="B54" t="s">
        <v>368</v>
      </c>
      <c r="C54" t="s">
        <v>364</v>
      </c>
      <c r="D54" t="s">
        <v>383</v>
      </c>
      <c r="E54" t="s">
        <v>514</v>
      </c>
      <c r="G54">
        <v>99946</v>
      </c>
      <c r="H54">
        <v>24885</v>
      </c>
      <c r="I54">
        <v>4.7</v>
      </c>
      <c r="J54">
        <v>77</v>
      </c>
      <c r="K54">
        <v>2</v>
      </c>
      <c r="L54" t="s">
        <v>50</v>
      </c>
    </row>
    <row r="55" spans="1:16" ht="15.5">
      <c r="A55" t="s">
        <v>515</v>
      </c>
      <c r="B55" t="s">
        <v>363</v>
      </c>
      <c r="C55" t="s">
        <v>364</v>
      </c>
      <c r="D55" t="s">
        <v>387</v>
      </c>
      <c r="E55" t="s">
        <v>516</v>
      </c>
      <c r="G55">
        <v>74603</v>
      </c>
      <c r="H55">
        <v>0</v>
      </c>
      <c r="I55">
        <v>3</v>
      </c>
      <c r="J55">
        <v>44</v>
      </c>
      <c r="K55">
        <v>1</v>
      </c>
      <c r="L55" t="s">
        <v>50</v>
      </c>
      <c r="P55" s="18" t="s">
        <v>517</v>
      </c>
    </row>
    <row r="56" spans="1:16">
      <c r="A56" t="s">
        <v>518</v>
      </c>
      <c r="B56" t="s">
        <v>374</v>
      </c>
      <c r="C56" t="s">
        <v>375</v>
      </c>
      <c r="D56" t="s">
        <v>437</v>
      </c>
      <c r="E56" t="s">
        <v>519</v>
      </c>
      <c r="G56">
        <v>432114</v>
      </c>
      <c r="H56">
        <v>46904</v>
      </c>
      <c r="I56">
        <v>2</v>
      </c>
      <c r="J56">
        <v>79</v>
      </c>
      <c r="K56">
        <v>0</v>
      </c>
      <c r="L56" t="s">
        <v>50</v>
      </c>
    </row>
    <row r="57" spans="1:16">
      <c r="A57" t="s">
        <v>520</v>
      </c>
      <c r="B57" t="s">
        <v>374</v>
      </c>
      <c r="C57" t="s">
        <v>375</v>
      </c>
      <c r="D57" t="s">
        <v>365</v>
      </c>
      <c r="E57" t="s">
        <v>521</v>
      </c>
      <c r="G57">
        <v>178556</v>
      </c>
      <c r="H57">
        <v>0</v>
      </c>
      <c r="I57">
        <v>2.2000000000000002</v>
      </c>
      <c r="J57">
        <v>72</v>
      </c>
      <c r="K57">
        <v>1</v>
      </c>
      <c r="L57" t="s">
        <v>50</v>
      </c>
      <c r="P57" t="s">
        <v>522</v>
      </c>
    </row>
    <row r="58" spans="1:16">
      <c r="A58" t="s">
        <v>523</v>
      </c>
      <c r="B58" t="s">
        <v>368</v>
      </c>
      <c r="C58" t="s">
        <v>4</v>
      </c>
      <c r="D58" t="s">
        <v>378</v>
      </c>
      <c r="E58" t="s">
        <v>524</v>
      </c>
      <c r="G58">
        <v>345681</v>
      </c>
      <c r="H58">
        <v>1420509</v>
      </c>
      <c r="I58">
        <v>2.2999999999999998</v>
      </c>
      <c r="J58">
        <v>62</v>
      </c>
      <c r="K58">
        <v>3</v>
      </c>
      <c r="L58" t="s">
        <v>50</v>
      </c>
      <c r="P58" s="11"/>
    </row>
    <row r="59" spans="1:16">
      <c r="A59" t="s">
        <v>525</v>
      </c>
      <c r="B59" t="s">
        <v>363</v>
      </c>
      <c r="C59" t="s">
        <v>375</v>
      </c>
      <c r="D59" t="s">
        <v>383</v>
      </c>
      <c r="E59" t="s">
        <v>526</v>
      </c>
      <c r="G59">
        <v>146042</v>
      </c>
      <c r="H59">
        <v>0</v>
      </c>
      <c r="I59">
        <v>4.4000000000000004</v>
      </c>
      <c r="J59">
        <v>71</v>
      </c>
      <c r="K59">
        <v>3</v>
      </c>
      <c r="L59" t="s">
        <v>93</v>
      </c>
      <c r="P59" s="11" t="s">
        <v>527</v>
      </c>
    </row>
    <row r="60" spans="1:16">
      <c r="A60" t="s">
        <v>528</v>
      </c>
      <c r="B60" t="s">
        <v>374</v>
      </c>
      <c r="C60" t="s">
        <v>4</v>
      </c>
      <c r="D60" t="s">
        <v>365</v>
      </c>
      <c r="E60" t="s">
        <v>529</v>
      </c>
      <c r="G60">
        <v>263396</v>
      </c>
      <c r="H60">
        <v>667003</v>
      </c>
      <c r="I60">
        <v>2.7</v>
      </c>
      <c r="J60">
        <v>63</v>
      </c>
      <c r="K60">
        <v>1</v>
      </c>
      <c r="L60" t="s">
        <v>50</v>
      </c>
      <c r="P60" s="11"/>
    </row>
    <row r="61" spans="1:16">
      <c r="A61" t="s">
        <v>530</v>
      </c>
      <c r="B61" t="s">
        <v>399</v>
      </c>
      <c r="C61" t="s">
        <v>4</v>
      </c>
      <c r="D61" t="s">
        <v>365</v>
      </c>
      <c r="E61" t="s">
        <v>531</v>
      </c>
      <c r="G61">
        <v>289100</v>
      </c>
      <c r="H61">
        <v>295461</v>
      </c>
      <c r="I61">
        <v>2.8</v>
      </c>
      <c r="J61">
        <v>68</v>
      </c>
      <c r="K61">
        <v>0</v>
      </c>
      <c r="L61" t="s">
        <v>50</v>
      </c>
      <c r="P61" s="11" t="s">
        <v>532</v>
      </c>
    </row>
    <row r="62" spans="1:16">
      <c r="A62" t="s">
        <v>533</v>
      </c>
      <c r="B62" t="s">
        <v>368</v>
      </c>
      <c r="C62" t="s">
        <v>375</v>
      </c>
      <c r="D62" t="s">
        <v>383</v>
      </c>
      <c r="E62" t="s">
        <v>534</v>
      </c>
      <c r="G62">
        <v>146170</v>
      </c>
      <c r="H62">
        <v>0</v>
      </c>
      <c r="I62">
        <v>2</v>
      </c>
      <c r="J62">
        <v>55</v>
      </c>
      <c r="K62">
        <v>1</v>
      </c>
      <c r="L62" t="s">
        <v>93</v>
      </c>
      <c r="P62" s="11"/>
    </row>
    <row r="63" spans="1:16">
      <c r="A63" t="s">
        <v>535</v>
      </c>
      <c r="B63" t="s">
        <v>368</v>
      </c>
      <c r="C63" t="s">
        <v>382</v>
      </c>
      <c r="D63" t="s">
        <v>383</v>
      </c>
      <c r="E63" t="s">
        <v>536</v>
      </c>
      <c r="G63">
        <v>125558</v>
      </c>
      <c r="H63">
        <v>0</v>
      </c>
      <c r="I63">
        <v>2.7</v>
      </c>
      <c r="J63">
        <v>92</v>
      </c>
      <c r="K63">
        <v>1</v>
      </c>
      <c r="L63" t="s">
        <v>50</v>
      </c>
      <c r="P63" s="11" t="s">
        <v>537</v>
      </c>
    </row>
    <row r="64" spans="1:16">
      <c r="A64" t="s">
        <v>538</v>
      </c>
      <c r="B64" t="s">
        <v>399</v>
      </c>
      <c r="C64" t="s">
        <v>364</v>
      </c>
      <c r="D64" t="s">
        <v>437</v>
      </c>
      <c r="E64" t="s">
        <v>539</v>
      </c>
      <c r="G64">
        <v>271584</v>
      </c>
      <c r="H64">
        <v>32494</v>
      </c>
      <c r="I64">
        <v>2.2000000000000002</v>
      </c>
      <c r="J64">
        <v>52</v>
      </c>
      <c r="K64">
        <v>3</v>
      </c>
      <c r="L64" t="s">
        <v>50</v>
      </c>
      <c r="P64" s="11"/>
    </row>
    <row r="65" spans="1:16">
      <c r="A65" t="s">
        <v>540</v>
      </c>
      <c r="B65" t="s">
        <v>368</v>
      </c>
      <c r="C65" t="s">
        <v>375</v>
      </c>
      <c r="D65" t="s">
        <v>369</v>
      </c>
      <c r="E65" t="s">
        <v>541</v>
      </c>
      <c r="G65">
        <v>168837</v>
      </c>
      <c r="H65">
        <v>0</v>
      </c>
      <c r="I65">
        <v>4.0999999999999996</v>
      </c>
      <c r="J65">
        <v>42</v>
      </c>
      <c r="K65">
        <v>0</v>
      </c>
      <c r="L65" t="s">
        <v>93</v>
      </c>
      <c r="P65" s="11" t="s">
        <v>542</v>
      </c>
    </row>
    <row r="66" spans="1:16">
      <c r="A66" t="s">
        <v>543</v>
      </c>
      <c r="B66" t="s">
        <v>368</v>
      </c>
      <c r="C66" t="s">
        <v>375</v>
      </c>
      <c r="D66" t="s">
        <v>378</v>
      </c>
      <c r="E66" t="s">
        <v>544</v>
      </c>
      <c r="G66">
        <v>280938</v>
      </c>
      <c r="H66">
        <v>0</v>
      </c>
      <c r="I66">
        <v>3.3</v>
      </c>
      <c r="J66">
        <v>79</v>
      </c>
      <c r="K66">
        <v>1</v>
      </c>
      <c r="L66" t="s">
        <v>50</v>
      </c>
      <c r="P66" s="11"/>
    </row>
    <row r="67" spans="1:16">
      <c r="A67" t="s">
        <v>545</v>
      </c>
      <c r="B67" t="s">
        <v>368</v>
      </c>
      <c r="C67" t="s">
        <v>375</v>
      </c>
      <c r="D67" t="s">
        <v>417</v>
      </c>
      <c r="E67" t="s">
        <v>546</v>
      </c>
      <c r="F67" t="s">
        <v>547</v>
      </c>
      <c r="G67">
        <v>355280</v>
      </c>
      <c r="H67">
        <v>26980</v>
      </c>
      <c r="I67">
        <v>1.7</v>
      </c>
      <c r="J67">
        <v>87</v>
      </c>
      <c r="K67">
        <v>0</v>
      </c>
      <c r="L67" t="s">
        <v>50</v>
      </c>
      <c r="P67" s="11" t="s">
        <v>548</v>
      </c>
    </row>
    <row r="68" spans="1:16">
      <c r="A68" t="s">
        <v>549</v>
      </c>
      <c r="B68" t="s">
        <v>363</v>
      </c>
      <c r="C68" t="s">
        <v>375</v>
      </c>
      <c r="D68" t="s">
        <v>378</v>
      </c>
      <c r="E68" t="s">
        <v>550</v>
      </c>
      <c r="F68" t="s">
        <v>551</v>
      </c>
      <c r="G68">
        <v>506989</v>
      </c>
      <c r="H68">
        <v>14451</v>
      </c>
      <c r="I68">
        <v>2.2999999999999998</v>
      </c>
      <c r="J68">
        <v>47</v>
      </c>
      <c r="K68">
        <v>3</v>
      </c>
      <c r="L68" t="s">
        <v>50</v>
      </c>
      <c r="P68" s="11"/>
    </row>
    <row r="69" spans="1:16">
      <c r="A69" t="s">
        <v>552</v>
      </c>
      <c r="B69" t="s">
        <v>363</v>
      </c>
      <c r="C69" t="s">
        <v>4</v>
      </c>
      <c r="D69" t="s">
        <v>437</v>
      </c>
      <c r="E69" t="s">
        <v>553</v>
      </c>
      <c r="G69">
        <v>373218</v>
      </c>
      <c r="H69">
        <v>929056</v>
      </c>
      <c r="I69">
        <v>4.7</v>
      </c>
      <c r="J69">
        <v>62</v>
      </c>
      <c r="K69">
        <v>1</v>
      </c>
      <c r="L69" t="s">
        <v>50</v>
      </c>
      <c r="P69" s="11" t="s">
        <v>554</v>
      </c>
    </row>
    <row r="70" spans="1:16">
      <c r="A70" t="s">
        <v>555</v>
      </c>
      <c r="B70" t="s">
        <v>399</v>
      </c>
      <c r="C70" t="s">
        <v>375</v>
      </c>
      <c r="D70" t="s">
        <v>437</v>
      </c>
      <c r="E70" t="s">
        <v>556</v>
      </c>
      <c r="G70">
        <v>301680</v>
      </c>
      <c r="H70">
        <v>0</v>
      </c>
      <c r="I70">
        <v>3.9</v>
      </c>
      <c r="J70">
        <v>88</v>
      </c>
      <c r="K70">
        <v>0</v>
      </c>
      <c r="L70" t="s">
        <v>50</v>
      </c>
    </row>
    <row r="71" spans="1:16">
      <c r="A71" t="s">
        <v>557</v>
      </c>
      <c r="B71" t="s">
        <v>374</v>
      </c>
      <c r="C71" t="s">
        <v>4</v>
      </c>
      <c r="D71" t="s">
        <v>387</v>
      </c>
      <c r="E71" t="s">
        <v>558</v>
      </c>
      <c r="G71">
        <v>64670</v>
      </c>
      <c r="H71">
        <v>135234</v>
      </c>
      <c r="I71">
        <v>3.8</v>
      </c>
      <c r="J71">
        <v>98</v>
      </c>
      <c r="K71">
        <v>2</v>
      </c>
      <c r="L71" t="s">
        <v>50</v>
      </c>
      <c r="P71" s="14" t="s">
        <v>559</v>
      </c>
    </row>
    <row r="72" spans="1:16">
      <c r="A72" t="s">
        <v>560</v>
      </c>
      <c r="B72" t="s">
        <v>399</v>
      </c>
      <c r="C72" t="s">
        <v>382</v>
      </c>
      <c r="D72" t="s">
        <v>437</v>
      </c>
      <c r="E72" t="s">
        <v>561</v>
      </c>
      <c r="G72">
        <v>250278</v>
      </c>
      <c r="H72">
        <v>32539</v>
      </c>
      <c r="I72">
        <v>1.5</v>
      </c>
      <c r="J72">
        <v>91</v>
      </c>
      <c r="K72">
        <v>0</v>
      </c>
      <c r="L72" t="s">
        <v>50</v>
      </c>
    </row>
    <row r="73" spans="1:16">
      <c r="A73" t="s">
        <v>562</v>
      </c>
      <c r="B73" t="s">
        <v>363</v>
      </c>
      <c r="C73" t="s">
        <v>382</v>
      </c>
      <c r="D73" t="s">
        <v>369</v>
      </c>
      <c r="E73" t="s">
        <v>563</v>
      </c>
      <c r="F73" t="s">
        <v>564</v>
      </c>
      <c r="G73">
        <v>169506</v>
      </c>
      <c r="H73">
        <v>0</v>
      </c>
      <c r="I73">
        <v>1.4</v>
      </c>
      <c r="J73">
        <v>46</v>
      </c>
      <c r="K73">
        <v>0</v>
      </c>
      <c r="L73" t="s">
        <v>50</v>
      </c>
    </row>
    <row r="74" spans="1:16">
      <c r="A74" t="s">
        <v>565</v>
      </c>
      <c r="B74" t="s">
        <v>399</v>
      </c>
      <c r="C74" t="s">
        <v>382</v>
      </c>
      <c r="D74" t="s">
        <v>387</v>
      </c>
      <c r="E74" t="s">
        <v>566</v>
      </c>
      <c r="G74">
        <v>76007</v>
      </c>
      <c r="H74">
        <v>0</v>
      </c>
      <c r="I74">
        <v>3</v>
      </c>
      <c r="J74">
        <v>97</v>
      </c>
      <c r="K74">
        <v>2</v>
      </c>
      <c r="L74" t="s">
        <v>50</v>
      </c>
    </row>
    <row r="75" spans="1:16">
      <c r="A75" t="s">
        <v>567</v>
      </c>
      <c r="B75" t="s">
        <v>399</v>
      </c>
      <c r="C75" t="s">
        <v>364</v>
      </c>
      <c r="D75" t="s">
        <v>417</v>
      </c>
      <c r="E75" t="s">
        <v>568</v>
      </c>
      <c r="F75" t="s">
        <v>569</v>
      </c>
      <c r="G75">
        <v>288970</v>
      </c>
      <c r="H75">
        <v>0</v>
      </c>
      <c r="I75">
        <v>1.5</v>
      </c>
      <c r="J75">
        <v>59</v>
      </c>
      <c r="K75">
        <v>0</v>
      </c>
      <c r="L75" t="s">
        <v>50</v>
      </c>
    </row>
    <row r="76" spans="1:16">
      <c r="A76" t="s">
        <v>570</v>
      </c>
      <c r="B76" t="s">
        <v>399</v>
      </c>
      <c r="C76" t="s">
        <v>4</v>
      </c>
      <c r="D76" t="s">
        <v>417</v>
      </c>
      <c r="E76" t="s">
        <v>571</v>
      </c>
      <c r="G76">
        <v>321970</v>
      </c>
      <c r="H76">
        <v>776260</v>
      </c>
      <c r="I76">
        <v>2.4</v>
      </c>
      <c r="J76">
        <v>74</v>
      </c>
      <c r="K76">
        <v>0</v>
      </c>
      <c r="L76" t="s">
        <v>50</v>
      </c>
    </row>
    <row r="77" spans="1:16">
      <c r="A77" t="s">
        <v>572</v>
      </c>
      <c r="B77" t="s">
        <v>399</v>
      </c>
      <c r="C77" t="s">
        <v>4</v>
      </c>
      <c r="D77" t="s">
        <v>383</v>
      </c>
      <c r="E77" t="s">
        <v>573</v>
      </c>
      <c r="F77" t="s">
        <v>574</v>
      </c>
      <c r="G77">
        <v>103860</v>
      </c>
      <c r="H77">
        <v>1714087</v>
      </c>
      <c r="I77">
        <v>3</v>
      </c>
      <c r="J77">
        <v>78</v>
      </c>
      <c r="K77">
        <v>3</v>
      </c>
      <c r="L77" t="s">
        <v>93</v>
      </c>
    </row>
    <row r="78" spans="1:16">
      <c r="A78" t="s">
        <v>575</v>
      </c>
      <c r="B78" t="s">
        <v>399</v>
      </c>
      <c r="C78" t="s">
        <v>364</v>
      </c>
      <c r="D78" t="s">
        <v>387</v>
      </c>
      <c r="E78" t="s">
        <v>576</v>
      </c>
      <c r="G78">
        <v>51366</v>
      </c>
      <c r="H78">
        <v>0</v>
      </c>
      <c r="I78">
        <v>1.1000000000000001</v>
      </c>
      <c r="J78">
        <v>41</v>
      </c>
      <c r="K78">
        <v>3</v>
      </c>
      <c r="L78" t="s">
        <v>93</v>
      </c>
    </row>
    <row r="79" spans="1:16">
      <c r="A79" t="s">
        <v>577</v>
      </c>
      <c r="B79" t="s">
        <v>374</v>
      </c>
      <c r="C79" t="s">
        <v>375</v>
      </c>
      <c r="D79" t="s">
        <v>387</v>
      </c>
      <c r="E79" t="s">
        <v>578</v>
      </c>
      <c r="G79">
        <v>69023</v>
      </c>
      <c r="H79">
        <v>0</v>
      </c>
      <c r="I79">
        <v>2.2000000000000002</v>
      </c>
      <c r="J79">
        <v>54</v>
      </c>
      <c r="K79">
        <v>1</v>
      </c>
      <c r="L79" t="s">
        <v>50</v>
      </c>
    </row>
    <row r="80" spans="1:16">
      <c r="A80" t="s">
        <v>579</v>
      </c>
      <c r="B80" t="s">
        <v>374</v>
      </c>
      <c r="C80" t="s">
        <v>4</v>
      </c>
      <c r="D80" t="s">
        <v>437</v>
      </c>
      <c r="E80" t="s">
        <v>580</v>
      </c>
      <c r="G80">
        <v>248316</v>
      </c>
      <c r="H80">
        <v>1253866</v>
      </c>
      <c r="I80">
        <v>1.5</v>
      </c>
      <c r="J80">
        <v>83</v>
      </c>
      <c r="K80">
        <v>0</v>
      </c>
      <c r="L80" t="s">
        <v>50</v>
      </c>
    </row>
    <row r="81" spans="1:12">
      <c r="A81" t="s">
        <v>581</v>
      </c>
      <c r="B81" t="s">
        <v>363</v>
      </c>
      <c r="C81" t="s">
        <v>4</v>
      </c>
      <c r="D81" t="s">
        <v>378</v>
      </c>
      <c r="E81" t="s">
        <v>582</v>
      </c>
      <c r="G81">
        <v>389018</v>
      </c>
      <c r="H81">
        <v>791551</v>
      </c>
      <c r="I81">
        <v>4.7</v>
      </c>
      <c r="J81">
        <v>79</v>
      </c>
      <c r="K81">
        <v>3</v>
      </c>
      <c r="L81" t="s">
        <v>50</v>
      </c>
    </row>
    <row r="82" spans="1:12">
      <c r="A82" t="s">
        <v>583</v>
      </c>
      <c r="B82" t="s">
        <v>363</v>
      </c>
      <c r="C82" t="s">
        <v>4</v>
      </c>
      <c r="D82" t="s">
        <v>365</v>
      </c>
      <c r="E82" t="s">
        <v>584</v>
      </c>
      <c r="F82" t="s">
        <v>585</v>
      </c>
      <c r="G82">
        <v>299624</v>
      </c>
      <c r="H82">
        <v>1049816</v>
      </c>
      <c r="I82">
        <v>2.2999999999999998</v>
      </c>
      <c r="J82">
        <v>79</v>
      </c>
      <c r="K82">
        <v>2</v>
      </c>
      <c r="L82" t="s">
        <v>93</v>
      </c>
    </row>
    <row r="83" spans="1:12">
      <c r="A83" t="s">
        <v>586</v>
      </c>
      <c r="B83" t="s">
        <v>363</v>
      </c>
      <c r="C83" t="s">
        <v>364</v>
      </c>
      <c r="D83" t="s">
        <v>387</v>
      </c>
      <c r="E83" t="s">
        <v>587</v>
      </c>
      <c r="G83">
        <v>45869</v>
      </c>
      <c r="H83">
        <v>0</v>
      </c>
      <c r="I83">
        <v>4.7</v>
      </c>
      <c r="J83">
        <v>84</v>
      </c>
      <c r="K83">
        <v>0</v>
      </c>
      <c r="L83" t="s">
        <v>50</v>
      </c>
    </row>
    <row r="84" spans="1:12">
      <c r="A84" t="s">
        <v>588</v>
      </c>
      <c r="B84" t="s">
        <v>399</v>
      </c>
      <c r="C84" t="s">
        <v>375</v>
      </c>
      <c r="D84" t="s">
        <v>365</v>
      </c>
      <c r="E84" t="s">
        <v>589</v>
      </c>
      <c r="G84">
        <v>245208</v>
      </c>
      <c r="H84">
        <v>0</v>
      </c>
      <c r="I84">
        <v>2.4</v>
      </c>
      <c r="J84">
        <v>60</v>
      </c>
      <c r="K84">
        <v>0</v>
      </c>
      <c r="L84" t="s">
        <v>50</v>
      </c>
    </row>
    <row r="85" spans="1:12">
      <c r="A85" t="s">
        <v>590</v>
      </c>
      <c r="B85" t="s">
        <v>363</v>
      </c>
      <c r="C85" t="s">
        <v>375</v>
      </c>
      <c r="D85" t="s">
        <v>378</v>
      </c>
      <c r="E85" t="s">
        <v>591</v>
      </c>
      <c r="G85">
        <v>535934</v>
      </c>
      <c r="H85">
        <v>0</v>
      </c>
      <c r="I85">
        <v>3.7</v>
      </c>
      <c r="J85">
        <v>78</v>
      </c>
      <c r="K85">
        <v>0</v>
      </c>
      <c r="L85" t="s">
        <v>50</v>
      </c>
    </row>
    <row r="86" spans="1:12">
      <c r="A86" t="s">
        <v>592</v>
      </c>
      <c r="B86" t="s">
        <v>399</v>
      </c>
      <c r="C86" t="s">
        <v>364</v>
      </c>
      <c r="D86" t="s">
        <v>378</v>
      </c>
      <c r="E86" t="s">
        <v>593</v>
      </c>
      <c r="G86">
        <v>487508</v>
      </c>
      <c r="H86">
        <v>0</v>
      </c>
      <c r="I86">
        <v>2.5</v>
      </c>
      <c r="J86">
        <v>85</v>
      </c>
      <c r="K86">
        <v>0</v>
      </c>
      <c r="L86" t="s">
        <v>50</v>
      </c>
    </row>
    <row r="87" spans="1:12">
      <c r="A87" t="s">
        <v>594</v>
      </c>
      <c r="B87" t="s">
        <v>374</v>
      </c>
      <c r="C87" t="s">
        <v>364</v>
      </c>
      <c r="D87" t="s">
        <v>417</v>
      </c>
      <c r="E87" t="s">
        <v>595</v>
      </c>
      <c r="G87">
        <v>261435</v>
      </c>
      <c r="H87">
        <v>0</v>
      </c>
      <c r="I87">
        <v>2.2999999999999998</v>
      </c>
      <c r="J87">
        <v>95</v>
      </c>
      <c r="K87">
        <v>2</v>
      </c>
      <c r="L87" t="s">
        <v>50</v>
      </c>
    </row>
    <row r="88" spans="1:12">
      <c r="A88" t="s">
        <v>596</v>
      </c>
      <c r="B88" t="s">
        <v>374</v>
      </c>
      <c r="C88" t="s">
        <v>364</v>
      </c>
      <c r="D88" t="s">
        <v>417</v>
      </c>
      <c r="E88" t="s">
        <v>597</v>
      </c>
      <c r="G88">
        <v>286515</v>
      </c>
      <c r="H88">
        <v>32707</v>
      </c>
      <c r="I88">
        <v>2</v>
      </c>
      <c r="J88">
        <v>60</v>
      </c>
      <c r="K88">
        <v>1</v>
      </c>
      <c r="L88" t="s">
        <v>50</v>
      </c>
    </row>
    <row r="89" spans="1:12">
      <c r="A89" t="s">
        <v>598</v>
      </c>
      <c r="B89" t="s">
        <v>399</v>
      </c>
      <c r="C89" t="s">
        <v>4</v>
      </c>
      <c r="D89" t="s">
        <v>383</v>
      </c>
      <c r="E89" t="s">
        <v>599</v>
      </c>
      <c r="G89">
        <v>102922</v>
      </c>
      <c r="H89">
        <v>2107726</v>
      </c>
      <c r="I89">
        <v>2.5</v>
      </c>
      <c r="J89">
        <v>99</v>
      </c>
      <c r="K89">
        <v>0</v>
      </c>
      <c r="L89" t="s">
        <v>50</v>
      </c>
    </row>
    <row r="90" spans="1:12">
      <c r="A90" t="s">
        <v>600</v>
      </c>
      <c r="B90" t="s">
        <v>374</v>
      </c>
      <c r="C90" t="s">
        <v>382</v>
      </c>
      <c r="D90" t="s">
        <v>387</v>
      </c>
      <c r="E90" t="s">
        <v>601</v>
      </c>
      <c r="G90">
        <v>62554</v>
      </c>
      <c r="H90">
        <v>0</v>
      </c>
      <c r="I90">
        <v>1.6</v>
      </c>
      <c r="J90">
        <v>54</v>
      </c>
      <c r="K90">
        <v>3</v>
      </c>
      <c r="L90" t="s">
        <v>50</v>
      </c>
    </row>
    <row r="91" spans="1:12">
      <c r="A91" t="s">
        <v>602</v>
      </c>
      <c r="B91" t="s">
        <v>363</v>
      </c>
      <c r="C91" t="s">
        <v>4</v>
      </c>
      <c r="D91" t="s">
        <v>378</v>
      </c>
      <c r="E91" t="s">
        <v>603</v>
      </c>
      <c r="G91">
        <v>380674</v>
      </c>
      <c r="H91">
        <v>922753</v>
      </c>
      <c r="I91">
        <v>1.5</v>
      </c>
      <c r="J91">
        <v>90</v>
      </c>
      <c r="K91">
        <v>3</v>
      </c>
      <c r="L91" t="s">
        <v>50</v>
      </c>
    </row>
    <row r="92" spans="1:12">
      <c r="A92" t="s">
        <v>604</v>
      </c>
      <c r="B92" t="s">
        <v>363</v>
      </c>
      <c r="C92" t="s">
        <v>4</v>
      </c>
      <c r="D92" t="s">
        <v>378</v>
      </c>
      <c r="E92" t="s">
        <v>605</v>
      </c>
      <c r="G92">
        <v>334404</v>
      </c>
      <c r="H92">
        <v>2411224</v>
      </c>
      <c r="I92">
        <v>3.7</v>
      </c>
      <c r="J92">
        <v>72</v>
      </c>
      <c r="K92">
        <v>0</v>
      </c>
      <c r="L92" t="s">
        <v>93</v>
      </c>
    </row>
    <row r="93" spans="1:12">
      <c r="A93" t="s">
        <v>606</v>
      </c>
      <c r="B93" t="s">
        <v>363</v>
      </c>
      <c r="C93" t="s">
        <v>4</v>
      </c>
      <c r="D93" t="s">
        <v>417</v>
      </c>
      <c r="E93" t="s">
        <v>607</v>
      </c>
      <c r="F93" t="s">
        <v>608</v>
      </c>
      <c r="G93">
        <v>270940</v>
      </c>
      <c r="H93">
        <v>237392</v>
      </c>
      <c r="I93">
        <v>2</v>
      </c>
      <c r="J93">
        <v>69</v>
      </c>
      <c r="K93">
        <v>1</v>
      </c>
      <c r="L93" t="s">
        <v>50</v>
      </c>
    </row>
    <row r="94" spans="1:12">
      <c r="A94" t="s">
        <v>609</v>
      </c>
      <c r="B94" t="s">
        <v>368</v>
      </c>
      <c r="C94" t="s">
        <v>382</v>
      </c>
      <c r="D94" t="s">
        <v>417</v>
      </c>
      <c r="E94" t="s">
        <v>610</v>
      </c>
      <c r="G94">
        <v>260280</v>
      </c>
      <c r="H94">
        <v>0</v>
      </c>
      <c r="I94">
        <v>3.1</v>
      </c>
      <c r="J94">
        <v>66</v>
      </c>
      <c r="K94">
        <v>0</v>
      </c>
      <c r="L94" t="s">
        <v>50</v>
      </c>
    </row>
    <row r="95" spans="1:12">
      <c r="A95" t="s">
        <v>611</v>
      </c>
      <c r="B95" t="s">
        <v>368</v>
      </c>
      <c r="C95" t="s">
        <v>375</v>
      </c>
      <c r="D95" t="s">
        <v>387</v>
      </c>
      <c r="E95" t="s">
        <v>612</v>
      </c>
      <c r="G95">
        <v>77687</v>
      </c>
      <c r="H95">
        <v>44829</v>
      </c>
      <c r="I95">
        <v>1.7</v>
      </c>
      <c r="J95">
        <v>54</v>
      </c>
      <c r="K95">
        <v>0</v>
      </c>
      <c r="L95" t="s">
        <v>50</v>
      </c>
    </row>
    <row r="96" spans="1:12">
      <c r="A96" t="s">
        <v>613</v>
      </c>
      <c r="B96" t="s">
        <v>374</v>
      </c>
      <c r="C96" t="s">
        <v>364</v>
      </c>
      <c r="D96" t="s">
        <v>417</v>
      </c>
      <c r="E96" t="s">
        <v>614</v>
      </c>
      <c r="G96">
        <v>248495</v>
      </c>
      <c r="H96">
        <v>0</v>
      </c>
      <c r="I96">
        <v>1.4</v>
      </c>
      <c r="J96">
        <v>74</v>
      </c>
      <c r="K96">
        <v>3</v>
      </c>
      <c r="L96" t="s">
        <v>50</v>
      </c>
    </row>
    <row r="97" spans="1:12">
      <c r="A97" t="s">
        <v>615</v>
      </c>
      <c r="B97" t="s">
        <v>399</v>
      </c>
      <c r="C97" t="s">
        <v>382</v>
      </c>
      <c r="D97" t="s">
        <v>387</v>
      </c>
      <c r="E97" t="s">
        <v>616</v>
      </c>
      <c r="G97">
        <v>57738</v>
      </c>
      <c r="H97">
        <v>0</v>
      </c>
      <c r="I97">
        <v>4.5999999999999996</v>
      </c>
      <c r="J97">
        <v>74</v>
      </c>
      <c r="K97">
        <v>0</v>
      </c>
      <c r="L97" t="s">
        <v>93</v>
      </c>
    </row>
    <row r="98" spans="1:12">
      <c r="A98" t="s">
        <v>617</v>
      </c>
      <c r="B98" t="s">
        <v>399</v>
      </c>
      <c r="C98" t="s">
        <v>364</v>
      </c>
      <c r="D98" t="s">
        <v>417</v>
      </c>
      <c r="E98" t="s">
        <v>618</v>
      </c>
      <c r="G98">
        <v>396275</v>
      </c>
      <c r="H98">
        <v>12154</v>
      </c>
      <c r="I98">
        <v>3.7</v>
      </c>
      <c r="J98">
        <v>97</v>
      </c>
      <c r="K98">
        <v>0</v>
      </c>
      <c r="L98" t="s">
        <v>50</v>
      </c>
    </row>
    <row r="99" spans="1:12">
      <c r="A99" t="s">
        <v>619</v>
      </c>
      <c r="B99" t="s">
        <v>368</v>
      </c>
      <c r="C99" t="s">
        <v>375</v>
      </c>
      <c r="D99" t="s">
        <v>369</v>
      </c>
      <c r="E99" t="s">
        <v>620</v>
      </c>
      <c r="G99">
        <v>202782</v>
      </c>
      <c r="H99">
        <v>38803</v>
      </c>
      <c r="I99">
        <v>2</v>
      </c>
      <c r="J99">
        <v>59</v>
      </c>
      <c r="K99">
        <v>1</v>
      </c>
      <c r="L99" t="s">
        <v>50</v>
      </c>
    </row>
    <row r="100" spans="1:12">
      <c r="A100" t="s">
        <v>621</v>
      </c>
      <c r="B100" t="s">
        <v>374</v>
      </c>
      <c r="C100" t="s">
        <v>375</v>
      </c>
      <c r="D100" t="s">
        <v>383</v>
      </c>
      <c r="E100" t="s">
        <v>622</v>
      </c>
      <c r="G100">
        <v>151598</v>
      </c>
      <c r="H100">
        <v>47311</v>
      </c>
      <c r="I100">
        <v>3</v>
      </c>
      <c r="J100">
        <v>90</v>
      </c>
      <c r="K100">
        <v>1</v>
      </c>
      <c r="L100" t="s">
        <v>50</v>
      </c>
    </row>
    <row r="101" spans="1:12">
      <c r="A101" t="s">
        <v>623</v>
      </c>
      <c r="B101" t="s">
        <v>368</v>
      </c>
      <c r="C101" t="s">
        <v>364</v>
      </c>
      <c r="D101" t="s">
        <v>417</v>
      </c>
      <c r="E101" t="s">
        <v>624</v>
      </c>
      <c r="G101">
        <v>356720</v>
      </c>
      <c r="H101">
        <v>27841</v>
      </c>
      <c r="I101">
        <v>3</v>
      </c>
      <c r="J101">
        <v>48</v>
      </c>
      <c r="K101">
        <v>1</v>
      </c>
      <c r="L101" t="s">
        <v>50</v>
      </c>
    </row>
    <row r="102" spans="1:12">
      <c r="A102" t="s">
        <v>625</v>
      </c>
      <c r="B102" t="s">
        <v>374</v>
      </c>
      <c r="C102" t="s">
        <v>4</v>
      </c>
      <c r="D102" t="s">
        <v>437</v>
      </c>
      <c r="E102" t="s">
        <v>626</v>
      </c>
      <c r="F102" t="s">
        <v>627</v>
      </c>
      <c r="G102">
        <v>467412</v>
      </c>
      <c r="H102">
        <v>406329</v>
      </c>
      <c r="I102">
        <v>2.1</v>
      </c>
      <c r="J102">
        <v>48</v>
      </c>
      <c r="K102">
        <v>0</v>
      </c>
      <c r="L102" t="s">
        <v>93</v>
      </c>
    </row>
    <row r="103" spans="1:12">
      <c r="A103" t="s">
        <v>628</v>
      </c>
      <c r="B103" t="s">
        <v>363</v>
      </c>
      <c r="C103" t="s">
        <v>4</v>
      </c>
      <c r="D103" t="s">
        <v>369</v>
      </c>
      <c r="E103" t="s">
        <v>629</v>
      </c>
      <c r="F103" t="s">
        <v>630</v>
      </c>
      <c r="G103">
        <v>126186</v>
      </c>
      <c r="H103">
        <v>2099822</v>
      </c>
      <c r="I103">
        <v>3.2</v>
      </c>
      <c r="J103">
        <v>62</v>
      </c>
      <c r="K103">
        <v>0</v>
      </c>
      <c r="L103" t="s">
        <v>50</v>
      </c>
    </row>
    <row r="104" spans="1:12">
      <c r="A104" t="s">
        <v>631</v>
      </c>
      <c r="B104" t="s">
        <v>399</v>
      </c>
      <c r="C104" t="s">
        <v>382</v>
      </c>
      <c r="D104" t="s">
        <v>437</v>
      </c>
      <c r="E104" t="s">
        <v>632</v>
      </c>
      <c r="G104">
        <v>392958</v>
      </c>
      <c r="H104">
        <v>0</v>
      </c>
      <c r="I104">
        <v>1.7</v>
      </c>
      <c r="J104">
        <v>95</v>
      </c>
      <c r="K104">
        <v>0</v>
      </c>
      <c r="L104" t="s">
        <v>50</v>
      </c>
    </row>
    <row r="105" spans="1:12">
      <c r="A105" t="s">
        <v>633</v>
      </c>
      <c r="B105" t="s">
        <v>399</v>
      </c>
      <c r="C105" t="s">
        <v>4</v>
      </c>
      <c r="D105" t="s">
        <v>369</v>
      </c>
      <c r="E105" t="s">
        <v>634</v>
      </c>
      <c r="G105">
        <v>189357</v>
      </c>
      <c r="H105">
        <v>410098</v>
      </c>
      <c r="I105">
        <v>4.4000000000000004</v>
      </c>
      <c r="J105">
        <v>84</v>
      </c>
      <c r="K105">
        <v>2</v>
      </c>
      <c r="L105" t="s">
        <v>50</v>
      </c>
    </row>
    <row r="106" spans="1:12">
      <c r="A106" t="s">
        <v>635</v>
      </c>
      <c r="B106" t="s">
        <v>368</v>
      </c>
      <c r="C106" t="s">
        <v>364</v>
      </c>
      <c r="D106" t="s">
        <v>387</v>
      </c>
      <c r="E106" t="s">
        <v>636</v>
      </c>
      <c r="G106">
        <v>72188</v>
      </c>
      <c r="H106">
        <v>0</v>
      </c>
      <c r="I106">
        <v>2.7</v>
      </c>
      <c r="J106">
        <v>64</v>
      </c>
      <c r="K106">
        <v>3</v>
      </c>
      <c r="L106" t="s">
        <v>50</v>
      </c>
    </row>
    <row r="107" spans="1:12">
      <c r="A107" t="s">
        <v>637</v>
      </c>
      <c r="B107" t="s">
        <v>374</v>
      </c>
      <c r="C107" t="s">
        <v>4</v>
      </c>
      <c r="D107" t="s">
        <v>365</v>
      </c>
      <c r="E107" t="s">
        <v>638</v>
      </c>
      <c r="G107">
        <v>241124</v>
      </c>
      <c r="H107">
        <v>372482</v>
      </c>
      <c r="I107">
        <v>2.6</v>
      </c>
      <c r="J107">
        <v>89</v>
      </c>
      <c r="K107">
        <v>0</v>
      </c>
      <c r="L107" t="s">
        <v>50</v>
      </c>
    </row>
    <row r="108" spans="1:12">
      <c r="A108" t="s">
        <v>639</v>
      </c>
      <c r="B108" t="s">
        <v>368</v>
      </c>
      <c r="C108" t="s">
        <v>382</v>
      </c>
      <c r="D108" t="s">
        <v>417</v>
      </c>
      <c r="E108" t="s">
        <v>640</v>
      </c>
      <c r="F108" t="s">
        <v>641</v>
      </c>
      <c r="G108">
        <v>295505</v>
      </c>
      <c r="H108">
        <v>14681</v>
      </c>
      <c r="I108">
        <v>2.6</v>
      </c>
      <c r="J108">
        <v>62</v>
      </c>
      <c r="K108">
        <v>3</v>
      </c>
      <c r="L108" t="s">
        <v>50</v>
      </c>
    </row>
    <row r="109" spans="1:12">
      <c r="A109" t="s">
        <v>642</v>
      </c>
      <c r="B109" t="s">
        <v>374</v>
      </c>
      <c r="C109" t="s">
        <v>375</v>
      </c>
      <c r="D109" t="s">
        <v>378</v>
      </c>
      <c r="E109" t="s">
        <v>643</v>
      </c>
      <c r="G109">
        <v>340613</v>
      </c>
      <c r="H109">
        <v>33062</v>
      </c>
      <c r="I109">
        <v>3.9</v>
      </c>
      <c r="J109">
        <v>40</v>
      </c>
      <c r="K109">
        <v>2</v>
      </c>
      <c r="L109" t="s">
        <v>50</v>
      </c>
    </row>
    <row r="110" spans="1:12">
      <c r="A110" t="s">
        <v>644</v>
      </c>
      <c r="B110" t="s">
        <v>399</v>
      </c>
      <c r="C110" t="s">
        <v>382</v>
      </c>
      <c r="D110" t="s">
        <v>417</v>
      </c>
      <c r="E110" t="s">
        <v>645</v>
      </c>
      <c r="G110">
        <v>261020</v>
      </c>
      <c r="H110">
        <v>0</v>
      </c>
      <c r="I110">
        <v>3.2</v>
      </c>
      <c r="J110">
        <v>82</v>
      </c>
      <c r="K110">
        <v>1</v>
      </c>
      <c r="L110" t="s">
        <v>50</v>
      </c>
    </row>
    <row r="111" spans="1:12">
      <c r="A111" t="s">
        <v>646</v>
      </c>
      <c r="B111" t="s">
        <v>399</v>
      </c>
      <c r="C111" t="s">
        <v>382</v>
      </c>
      <c r="D111" t="s">
        <v>417</v>
      </c>
      <c r="E111" t="s">
        <v>647</v>
      </c>
      <c r="F111" t="s">
        <v>648</v>
      </c>
      <c r="G111">
        <v>312480</v>
      </c>
      <c r="H111">
        <v>0</v>
      </c>
      <c r="I111">
        <v>1</v>
      </c>
      <c r="J111">
        <v>64</v>
      </c>
      <c r="K111">
        <v>0</v>
      </c>
      <c r="L111" t="s">
        <v>50</v>
      </c>
    </row>
    <row r="112" spans="1:12">
      <c r="A112" t="s">
        <v>649</v>
      </c>
      <c r="B112" t="s">
        <v>399</v>
      </c>
      <c r="C112" t="s">
        <v>375</v>
      </c>
      <c r="D112" t="s">
        <v>387</v>
      </c>
      <c r="E112" t="s">
        <v>650</v>
      </c>
      <c r="G112">
        <v>66860</v>
      </c>
      <c r="H112">
        <v>28232</v>
      </c>
      <c r="I112">
        <v>4</v>
      </c>
      <c r="J112">
        <v>83</v>
      </c>
      <c r="K112">
        <v>0</v>
      </c>
      <c r="L112" t="s">
        <v>50</v>
      </c>
    </row>
    <row r="113" spans="1:12">
      <c r="A113" t="s">
        <v>651</v>
      </c>
      <c r="B113" t="s">
        <v>374</v>
      </c>
      <c r="C113" t="s">
        <v>382</v>
      </c>
      <c r="D113" t="s">
        <v>383</v>
      </c>
      <c r="E113" t="s">
        <v>652</v>
      </c>
      <c r="F113" t="s">
        <v>653</v>
      </c>
      <c r="G113">
        <v>149544</v>
      </c>
      <c r="H113">
        <v>28143</v>
      </c>
      <c r="I113">
        <v>3.7</v>
      </c>
      <c r="J113">
        <v>47</v>
      </c>
      <c r="K113">
        <v>2</v>
      </c>
      <c r="L113" t="s">
        <v>50</v>
      </c>
    </row>
    <row r="114" spans="1:12">
      <c r="A114" t="s">
        <v>654</v>
      </c>
      <c r="B114" t="s">
        <v>374</v>
      </c>
      <c r="C114" t="s">
        <v>4</v>
      </c>
      <c r="D114" t="s">
        <v>437</v>
      </c>
      <c r="E114" t="s">
        <v>655</v>
      </c>
      <c r="G114">
        <v>463176</v>
      </c>
      <c r="H114">
        <v>1995691</v>
      </c>
      <c r="I114">
        <v>2.6</v>
      </c>
      <c r="J114">
        <v>64</v>
      </c>
      <c r="K114">
        <v>1</v>
      </c>
      <c r="L114" t="s">
        <v>93</v>
      </c>
    </row>
    <row r="115" spans="1:12">
      <c r="A115" t="s">
        <v>656</v>
      </c>
      <c r="B115" t="s">
        <v>399</v>
      </c>
      <c r="C115" t="s">
        <v>375</v>
      </c>
      <c r="D115" t="s">
        <v>369</v>
      </c>
      <c r="E115" t="s">
        <v>657</v>
      </c>
      <c r="G115">
        <v>166602</v>
      </c>
      <c r="H115">
        <v>40422</v>
      </c>
      <c r="I115">
        <v>3.5</v>
      </c>
      <c r="J115">
        <v>76</v>
      </c>
      <c r="K115">
        <v>2</v>
      </c>
      <c r="L115" t="s">
        <v>50</v>
      </c>
    </row>
    <row r="116" spans="1:12">
      <c r="A116" t="s">
        <v>658</v>
      </c>
      <c r="B116" t="s">
        <v>363</v>
      </c>
      <c r="C116" t="s">
        <v>382</v>
      </c>
      <c r="D116" t="s">
        <v>378</v>
      </c>
      <c r="E116" t="s">
        <v>659</v>
      </c>
      <c r="G116">
        <v>457821</v>
      </c>
      <c r="H116">
        <v>30992</v>
      </c>
      <c r="I116">
        <v>3.5</v>
      </c>
      <c r="J116">
        <v>84</v>
      </c>
      <c r="K116">
        <v>0</v>
      </c>
      <c r="L116" t="s">
        <v>50</v>
      </c>
    </row>
    <row r="117" spans="1:12">
      <c r="A117" t="s">
        <v>660</v>
      </c>
      <c r="B117" t="s">
        <v>374</v>
      </c>
      <c r="C117" t="s">
        <v>4</v>
      </c>
      <c r="D117" t="s">
        <v>437</v>
      </c>
      <c r="E117" t="s">
        <v>661</v>
      </c>
      <c r="G117">
        <v>475506</v>
      </c>
      <c r="H117">
        <v>628809</v>
      </c>
      <c r="I117">
        <v>4.2</v>
      </c>
      <c r="J117">
        <v>41</v>
      </c>
      <c r="K117">
        <v>0</v>
      </c>
      <c r="L117" t="s">
        <v>50</v>
      </c>
    </row>
    <row r="118" spans="1:12">
      <c r="A118" t="s">
        <v>662</v>
      </c>
      <c r="B118" t="s">
        <v>399</v>
      </c>
      <c r="C118" t="s">
        <v>375</v>
      </c>
      <c r="D118" t="s">
        <v>365</v>
      </c>
      <c r="E118" t="s">
        <v>663</v>
      </c>
      <c r="G118">
        <v>255528</v>
      </c>
      <c r="H118">
        <v>0</v>
      </c>
      <c r="I118">
        <v>3.6</v>
      </c>
      <c r="J118">
        <v>45</v>
      </c>
      <c r="K118">
        <v>0</v>
      </c>
      <c r="L118" t="s">
        <v>93</v>
      </c>
    </row>
    <row r="119" spans="1:12">
      <c r="A119" t="s">
        <v>664</v>
      </c>
      <c r="B119" t="s">
        <v>374</v>
      </c>
      <c r="C119" t="s">
        <v>375</v>
      </c>
      <c r="D119" t="s">
        <v>383</v>
      </c>
      <c r="E119" t="s">
        <v>665</v>
      </c>
      <c r="G119">
        <v>158338</v>
      </c>
      <c r="H119">
        <v>0</v>
      </c>
      <c r="I119">
        <v>4.5999999999999996</v>
      </c>
      <c r="J119">
        <v>85</v>
      </c>
      <c r="K119">
        <v>0</v>
      </c>
      <c r="L119" t="s">
        <v>50</v>
      </c>
    </row>
    <row r="120" spans="1:12">
      <c r="A120" t="s">
        <v>666</v>
      </c>
      <c r="B120" t="s">
        <v>363</v>
      </c>
      <c r="C120" t="s">
        <v>375</v>
      </c>
      <c r="D120" t="s">
        <v>369</v>
      </c>
      <c r="E120" t="s">
        <v>667</v>
      </c>
      <c r="G120">
        <v>209688</v>
      </c>
      <c r="H120">
        <v>0</v>
      </c>
      <c r="I120">
        <v>4.3</v>
      </c>
      <c r="J120">
        <v>87</v>
      </c>
      <c r="K120">
        <v>0</v>
      </c>
      <c r="L120" t="s">
        <v>50</v>
      </c>
    </row>
    <row r="121" spans="1:12">
      <c r="A121" t="s">
        <v>668</v>
      </c>
      <c r="B121" t="s">
        <v>374</v>
      </c>
      <c r="C121" t="s">
        <v>375</v>
      </c>
      <c r="D121" t="s">
        <v>417</v>
      </c>
      <c r="E121" t="s">
        <v>669</v>
      </c>
      <c r="G121">
        <v>310150</v>
      </c>
      <c r="H121">
        <v>0</v>
      </c>
      <c r="I121">
        <v>4.7</v>
      </c>
      <c r="J121">
        <v>89</v>
      </c>
      <c r="K121">
        <v>1</v>
      </c>
      <c r="L121" t="s">
        <v>50</v>
      </c>
    </row>
    <row r="122" spans="1:12">
      <c r="A122" t="s">
        <v>670</v>
      </c>
      <c r="B122" t="s">
        <v>374</v>
      </c>
      <c r="C122" t="s">
        <v>382</v>
      </c>
      <c r="D122" t="s">
        <v>387</v>
      </c>
      <c r="E122" t="s">
        <v>671</v>
      </c>
      <c r="G122">
        <v>70471</v>
      </c>
      <c r="H122">
        <v>0</v>
      </c>
      <c r="I122">
        <v>2.9</v>
      </c>
      <c r="J122">
        <v>68</v>
      </c>
      <c r="K122">
        <v>0</v>
      </c>
      <c r="L122" t="s">
        <v>50</v>
      </c>
    </row>
    <row r="123" spans="1:12">
      <c r="A123" t="s">
        <v>672</v>
      </c>
      <c r="B123" t="s">
        <v>368</v>
      </c>
      <c r="C123" t="s">
        <v>382</v>
      </c>
      <c r="D123" t="s">
        <v>378</v>
      </c>
      <c r="E123" t="s">
        <v>673</v>
      </c>
      <c r="G123">
        <v>319417</v>
      </c>
      <c r="H123">
        <v>0</v>
      </c>
      <c r="I123">
        <v>2.2999999999999998</v>
      </c>
      <c r="J123">
        <v>49</v>
      </c>
      <c r="K123">
        <v>0</v>
      </c>
      <c r="L123" t="s">
        <v>93</v>
      </c>
    </row>
    <row r="124" spans="1:12">
      <c r="A124" t="s">
        <v>674</v>
      </c>
      <c r="B124" t="s">
        <v>399</v>
      </c>
      <c r="C124" t="s">
        <v>364</v>
      </c>
      <c r="D124" t="s">
        <v>417</v>
      </c>
      <c r="E124" t="s">
        <v>675</v>
      </c>
      <c r="G124">
        <v>359750</v>
      </c>
      <c r="H124">
        <v>12511</v>
      </c>
      <c r="I124">
        <v>4.5</v>
      </c>
      <c r="J124">
        <v>98</v>
      </c>
      <c r="K124">
        <v>2</v>
      </c>
      <c r="L124" t="s">
        <v>50</v>
      </c>
    </row>
    <row r="125" spans="1:12">
      <c r="A125" t="s">
        <v>676</v>
      </c>
      <c r="B125" t="s">
        <v>374</v>
      </c>
      <c r="C125" t="s">
        <v>364</v>
      </c>
      <c r="D125" t="s">
        <v>387</v>
      </c>
      <c r="E125" t="s">
        <v>677</v>
      </c>
      <c r="G125">
        <v>62863</v>
      </c>
      <c r="H125">
        <v>30231</v>
      </c>
      <c r="I125">
        <v>2.4</v>
      </c>
      <c r="J125">
        <v>84</v>
      </c>
      <c r="K125">
        <v>0</v>
      </c>
      <c r="L125" t="s">
        <v>50</v>
      </c>
    </row>
    <row r="126" spans="1:12">
      <c r="A126" t="s">
        <v>678</v>
      </c>
      <c r="B126" t="s">
        <v>368</v>
      </c>
      <c r="C126" t="s">
        <v>4</v>
      </c>
      <c r="D126" t="s">
        <v>369</v>
      </c>
      <c r="E126" t="s">
        <v>679</v>
      </c>
      <c r="G126">
        <v>232983</v>
      </c>
      <c r="H126">
        <v>2278124</v>
      </c>
      <c r="I126">
        <v>4.3</v>
      </c>
      <c r="J126">
        <v>86</v>
      </c>
      <c r="K126">
        <v>0</v>
      </c>
      <c r="L126" t="s">
        <v>93</v>
      </c>
    </row>
    <row r="127" spans="1:12">
      <c r="A127" t="s">
        <v>680</v>
      </c>
      <c r="B127" t="s">
        <v>368</v>
      </c>
      <c r="C127" t="s">
        <v>375</v>
      </c>
      <c r="D127" t="s">
        <v>387</v>
      </c>
      <c r="E127" t="s">
        <v>681</v>
      </c>
      <c r="G127">
        <v>55974</v>
      </c>
      <c r="H127">
        <v>23272</v>
      </c>
      <c r="I127">
        <v>1.8</v>
      </c>
      <c r="J127">
        <v>70</v>
      </c>
      <c r="K127">
        <v>3</v>
      </c>
      <c r="L127" t="s">
        <v>50</v>
      </c>
    </row>
    <row r="128" spans="1:12">
      <c r="A128" t="s">
        <v>682</v>
      </c>
      <c r="B128" t="s">
        <v>368</v>
      </c>
      <c r="C128" t="s">
        <v>382</v>
      </c>
      <c r="D128" t="s">
        <v>417</v>
      </c>
      <c r="E128" t="s">
        <v>683</v>
      </c>
      <c r="G128">
        <v>266760</v>
      </c>
      <c r="H128">
        <v>0</v>
      </c>
      <c r="I128">
        <v>3.9</v>
      </c>
      <c r="J128">
        <v>80</v>
      </c>
      <c r="K128">
        <v>1</v>
      </c>
      <c r="L128" t="s">
        <v>50</v>
      </c>
    </row>
    <row r="129" spans="1:12">
      <c r="A129" t="s">
        <v>684</v>
      </c>
      <c r="B129" t="s">
        <v>363</v>
      </c>
      <c r="C129" t="s">
        <v>4</v>
      </c>
      <c r="D129" t="s">
        <v>417</v>
      </c>
      <c r="E129" t="s">
        <v>685</v>
      </c>
      <c r="G129">
        <v>221585</v>
      </c>
      <c r="H129">
        <v>1019783</v>
      </c>
      <c r="I129">
        <v>4.5999999999999996</v>
      </c>
      <c r="J129">
        <v>95</v>
      </c>
      <c r="K129">
        <v>3</v>
      </c>
      <c r="L129" t="s">
        <v>50</v>
      </c>
    </row>
    <row r="130" spans="1:12">
      <c r="A130" t="s">
        <v>686</v>
      </c>
      <c r="B130" t="s">
        <v>374</v>
      </c>
      <c r="C130" t="s">
        <v>375</v>
      </c>
      <c r="D130" t="s">
        <v>378</v>
      </c>
      <c r="E130" t="s">
        <v>687</v>
      </c>
      <c r="G130">
        <v>281302</v>
      </c>
      <c r="H130">
        <v>42101</v>
      </c>
      <c r="I130">
        <v>1.1000000000000001</v>
      </c>
      <c r="J130">
        <v>58</v>
      </c>
      <c r="K130">
        <v>0</v>
      </c>
      <c r="L130" t="s">
        <v>50</v>
      </c>
    </row>
    <row r="131" spans="1:12">
      <c r="A131" t="s">
        <v>688</v>
      </c>
      <c r="B131" t="s">
        <v>399</v>
      </c>
      <c r="C131" t="s">
        <v>4</v>
      </c>
      <c r="D131" t="s">
        <v>417</v>
      </c>
      <c r="E131" t="s">
        <v>689</v>
      </c>
      <c r="G131">
        <v>398045</v>
      </c>
      <c r="H131">
        <v>2309172</v>
      </c>
      <c r="I131">
        <v>1.7</v>
      </c>
      <c r="J131">
        <v>41</v>
      </c>
      <c r="K131">
        <v>0</v>
      </c>
      <c r="L131" t="s">
        <v>50</v>
      </c>
    </row>
    <row r="132" spans="1:12">
      <c r="A132" t="s">
        <v>690</v>
      </c>
      <c r="B132" t="s">
        <v>368</v>
      </c>
      <c r="C132" t="s">
        <v>382</v>
      </c>
      <c r="D132" t="s">
        <v>437</v>
      </c>
      <c r="E132" t="s">
        <v>691</v>
      </c>
      <c r="G132">
        <v>358740</v>
      </c>
      <c r="H132">
        <v>0</v>
      </c>
      <c r="I132">
        <v>2.4</v>
      </c>
      <c r="J132">
        <v>100</v>
      </c>
      <c r="K132">
        <v>1</v>
      </c>
      <c r="L132" t="s">
        <v>50</v>
      </c>
    </row>
    <row r="133" spans="1:12">
      <c r="A133" t="s">
        <v>692</v>
      </c>
      <c r="B133" t="s">
        <v>399</v>
      </c>
      <c r="C133" t="s">
        <v>4</v>
      </c>
      <c r="D133" t="s">
        <v>417</v>
      </c>
      <c r="E133" t="s">
        <v>693</v>
      </c>
      <c r="G133">
        <v>328625</v>
      </c>
      <c r="H133">
        <v>2203481</v>
      </c>
      <c r="I133">
        <v>4.2</v>
      </c>
      <c r="J133">
        <v>96</v>
      </c>
      <c r="K133">
        <v>3</v>
      </c>
      <c r="L133" t="s">
        <v>50</v>
      </c>
    </row>
    <row r="134" spans="1:12">
      <c r="A134" t="s">
        <v>694</v>
      </c>
      <c r="B134" t="s">
        <v>363</v>
      </c>
      <c r="C134" t="s">
        <v>364</v>
      </c>
      <c r="D134" t="s">
        <v>365</v>
      </c>
      <c r="E134" t="s">
        <v>695</v>
      </c>
      <c r="G134">
        <v>316588</v>
      </c>
      <c r="H134">
        <v>0</v>
      </c>
      <c r="I134">
        <v>3.6</v>
      </c>
      <c r="J134">
        <v>93</v>
      </c>
      <c r="K134">
        <v>2</v>
      </c>
      <c r="L134" t="s">
        <v>50</v>
      </c>
    </row>
    <row r="135" spans="1:12">
      <c r="A135" t="s">
        <v>696</v>
      </c>
      <c r="B135" t="s">
        <v>399</v>
      </c>
      <c r="C135" t="s">
        <v>4</v>
      </c>
      <c r="D135" t="s">
        <v>378</v>
      </c>
      <c r="E135" t="s">
        <v>697</v>
      </c>
      <c r="G135">
        <v>502677</v>
      </c>
      <c r="H135">
        <v>589977</v>
      </c>
      <c r="I135">
        <v>4</v>
      </c>
      <c r="J135">
        <v>46</v>
      </c>
      <c r="K135">
        <v>0</v>
      </c>
      <c r="L135" t="s">
        <v>50</v>
      </c>
    </row>
    <row r="136" spans="1:12">
      <c r="A136" t="s">
        <v>698</v>
      </c>
      <c r="B136" t="s">
        <v>363</v>
      </c>
      <c r="C136" t="s">
        <v>4</v>
      </c>
      <c r="D136" t="s">
        <v>365</v>
      </c>
      <c r="E136" t="s">
        <v>699</v>
      </c>
      <c r="G136">
        <v>318964</v>
      </c>
      <c r="H136">
        <v>1167578</v>
      </c>
      <c r="I136">
        <v>3.4</v>
      </c>
      <c r="J136">
        <v>89</v>
      </c>
      <c r="K136">
        <v>0</v>
      </c>
      <c r="L136" t="s">
        <v>50</v>
      </c>
    </row>
    <row r="137" spans="1:12">
      <c r="A137" t="s">
        <v>700</v>
      </c>
      <c r="B137" t="s">
        <v>374</v>
      </c>
      <c r="C137" t="s">
        <v>364</v>
      </c>
      <c r="D137" t="s">
        <v>417</v>
      </c>
      <c r="E137" t="s">
        <v>701</v>
      </c>
      <c r="G137">
        <v>296660</v>
      </c>
      <c r="H137">
        <v>0</v>
      </c>
      <c r="I137">
        <v>4.3</v>
      </c>
      <c r="J137">
        <v>82</v>
      </c>
      <c r="K137">
        <v>0</v>
      </c>
      <c r="L137" t="s">
        <v>50</v>
      </c>
    </row>
    <row r="138" spans="1:12">
      <c r="A138" t="s">
        <v>702</v>
      </c>
      <c r="B138" t="s">
        <v>368</v>
      </c>
      <c r="C138" t="s">
        <v>375</v>
      </c>
      <c r="D138" t="s">
        <v>383</v>
      </c>
      <c r="E138" t="s">
        <v>703</v>
      </c>
      <c r="G138">
        <v>130788</v>
      </c>
      <c r="H138">
        <v>0</v>
      </c>
      <c r="I138">
        <v>1.3</v>
      </c>
      <c r="J138">
        <v>46</v>
      </c>
      <c r="K138">
        <v>2</v>
      </c>
      <c r="L138" t="s">
        <v>50</v>
      </c>
    </row>
    <row r="139" spans="1:12">
      <c r="A139" t="s">
        <v>704</v>
      </c>
      <c r="B139" t="s">
        <v>368</v>
      </c>
      <c r="C139" t="s">
        <v>382</v>
      </c>
      <c r="D139" t="s">
        <v>378</v>
      </c>
      <c r="E139" t="s">
        <v>705</v>
      </c>
      <c r="G139">
        <v>421232</v>
      </c>
      <c r="H139">
        <v>0</v>
      </c>
      <c r="I139">
        <v>2.6</v>
      </c>
      <c r="J139">
        <v>54</v>
      </c>
      <c r="K139">
        <v>0</v>
      </c>
      <c r="L139" t="s">
        <v>50</v>
      </c>
    </row>
    <row r="140" spans="1:12">
      <c r="A140" t="s">
        <v>706</v>
      </c>
      <c r="B140" t="s">
        <v>374</v>
      </c>
      <c r="C140" t="s">
        <v>364</v>
      </c>
      <c r="D140" t="s">
        <v>437</v>
      </c>
      <c r="E140" t="s">
        <v>707</v>
      </c>
      <c r="F140" t="s">
        <v>708</v>
      </c>
      <c r="G140">
        <v>368832</v>
      </c>
      <c r="H140">
        <v>0</v>
      </c>
      <c r="I140">
        <v>3.9</v>
      </c>
      <c r="J140">
        <v>97</v>
      </c>
      <c r="K140">
        <v>0</v>
      </c>
      <c r="L140" t="s">
        <v>50</v>
      </c>
    </row>
    <row r="141" spans="1:12">
      <c r="A141" t="s">
        <v>709</v>
      </c>
      <c r="B141" t="s">
        <v>368</v>
      </c>
      <c r="C141" t="s">
        <v>4</v>
      </c>
      <c r="D141" t="s">
        <v>369</v>
      </c>
      <c r="E141" t="s">
        <v>710</v>
      </c>
      <c r="G141">
        <v>212883</v>
      </c>
      <c r="H141">
        <v>2065420</v>
      </c>
      <c r="I141">
        <v>2</v>
      </c>
      <c r="J141">
        <v>45</v>
      </c>
      <c r="K141">
        <v>3</v>
      </c>
      <c r="L141" t="s">
        <v>50</v>
      </c>
    </row>
    <row r="142" spans="1:12">
      <c r="A142" t="s">
        <v>711</v>
      </c>
      <c r="B142" t="s">
        <v>399</v>
      </c>
      <c r="C142" t="s">
        <v>4</v>
      </c>
      <c r="D142" t="s">
        <v>383</v>
      </c>
      <c r="E142" t="s">
        <v>712</v>
      </c>
      <c r="G142">
        <v>155132</v>
      </c>
      <c r="H142">
        <v>182722</v>
      </c>
      <c r="I142">
        <v>2.1</v>
      </c>
      <c r="J142">
        <v>51</v>
      </c>
      <c r="K142">
        <v>0</v>
      </c>
      <c r="L142" t="s">
        <v>50</v>
      </c>
    </row>
    <row r="143" spans="1:12">
      <c r="A143" t="s">
        <v>713</v>
      </c>
      <c r="B143" t="s">
        <v>368</v>
      </c>
      <c r="C143" t="s">
        <v>4</v>
      </c>
      <c r="D143" t="s">
        <v>365</v>
      </c>
      <c r="E143" t="s">
        <v>714</v>
      </c>
      <c r="G143">
        <v>255340</v>
      </c>
      <c r="H143">
        <v>1581797</v>
      </c>
      <c r="I143">
        <v>3</v>
      </c>
      <c r="J143">
        <v>81</v>
      </c>
      <c r="K143">
        <v>1</v>
      </c>
      <c r="L143" t="s">
        <v>50</v>
      </c>
    </row>
    <row r="144" spans="1:12">
      <c r="A144" t="s">
        <v>715</v>
      </c>
      <c r="B144" t="s">
        <v>399</v>
      </c>
      <c r="C144" t="s">
        <v>4</v>
      </c>
      <c r="D144" t="s">
        <v>365</v>
      </c>
      <c r="E144" t="s">
        <v>716</v>
      </c>
      <c r="F144" t="s">
        <v>717</v>
      </c>
      <c r="G144">
        <v>309268</v>
      </c>
      <c r="H144">
        <v>1617497</v>
      </c>
      <c r="I144">
        <v>1.7</v>
      </c>
      <c r="J144">
        <v>72</v>
      </c>
      <c r="K144">
        <v>0</v>
      </c>
      <c r="L144" t="s">
        <v>50</v>
      </c>
    </row>
    <row r="145" spans="1:12">
      <c r="A145" t="s">
        <v>718</v>
      </c>
      <c r="B145" t="s">
        <v>399</v>
      </c>
      <c r="C145" t="s">
        <v>382</v>
      </c>
      <c r="D145" t="s">
        <v>387</v>
      </c>
      <c r="E145" t="s">
        <v>719</v>
      </c>
      <c r="G145">
        <v>71430</v>
      </c>
      <c r="H145">
        <v>0</v>
      </c>
      <c r="I145">
        <v>3.6</v>
      </c>
      <c r="J145">
        <v>84</v>
      </c>
      <c r="K145">
        <v>1</v>
      </c>
      <c r="L145" t="s">
        <v>50</v>
      </c>
    </row>
    <row r="146" spans="1:12">
      <c r="A146" t="s">
        <v>720</v>
      </c>
      <c r="B146" t="s">
        <v>363</v>
      </c>
      <c r="C146" t="s">
        <v>364</v>
      </c>
      <c r="D146" t="s">
        <v>387</v>
      </c>
      <c r="E146" t="s">
        <v>721</v>
      </c>
      <c r="G146">
        <v>69837</v>
      </c>
      <c r="H146">
        <v>42236</v>
      </c>
      <c r="I146">
        <v>3.3</v>
      </c>
      <c r="J146">
        <v>100</v>
      </c>
      <c r="K146">
        <v>0</v>
      </c>
      <c r="L146" t="s">
        <v>50</v>
      </c>
    </row>
    <row r="147" spans="1:12">
      <c r="A147" t="s">
        <v>722</v>
      </c>
      <c r="B147" t="s">
        <v>368</v>
      </c>
      <c r="C147" t="s">
        <v>364</v>
      </c>
      <c r="D147" t="s">
        <v>383</v>
      </c>
      <c r="E147" t="s">
        <v>723</v>
      </c>
      <c r="G147">
        <v>81260</v>
      </c>
      <c r="H147">
        <v>0</v>
      </c>
      <c r="I147">
        <v>1.3</v>
      </c>
      <c r="J147">
        <v>54</v>
      </c>
      <c r="K147">
        <v>0</v>
      </c>
      <c r="L147" t="s">
        <v>50</v>
      </c>
    </row>
    <row r="148" spans="1:12">
      <c r="A148" t="s">
        <v>724</v>
      </c>
      <c r="B148" t="s">
        <v>363</v>
      </c>
      <c r="C148" t="s">
        <v>364</v>
      </c>
      <c r="D148" t="s">
        <v>387</v>
      </c>
      <c r="E148" t="s">
        <v>725</v>
      </c>
      <c r="G148">
        <v>79053</v>
      </c>
      <c r="H148">
        <v>39531</v>
      </c>
      <c r="I148">
        <v>3.5</v>
      </c>
      <c r="J148">
        <v>93</v>
      </c>
      <c r="K148">
        <v>3</v>
      </c>
      <c r="L148" t="s">
        <v>50</v>
      </c>
    </row>
    <row r="149" spans="1:12">
      <c r="A149" t="s">
        <v>726</v>
      </c>
      <c r="B149" t="s">
        <v>374</v>
      </c>
      <c r="C149" t="s">
        <v>382</v>
      </c>
      <c r="D149" t="s">
        <v>378</v>
      </c>
      <c r="E149" t="s">
        <v>727</v>
      </c>
      <c r="F149" t="s">
        <v>657</v>
      </c>
      <c r="G149">
        <v>289632</v>
      </c>
      <c r="H149">
        <v>14647</v>
      </c>
      <c r="I149">
        <v>3.9</v>
      </c>
      <c r="J149">
        <v>53</v>
      </c>
      <c r="K149">
        <v>3</v>
      </c>
      <c r="L149" t="s">
        <v>50</v>
      </c>
    </row>
    <row r="150" spans="1:12">
      <c r="A150" t="s">
        <v>728</v>
      </c>
      <c r="B150" t="s">
        <v>374</v>
      </c>
      <c r="C150" t="s">
        <v>382</v>
      </c>
      <c r="D150" t="s">
        <v>387</v>
      </c>
      <c r="E150" t="s">
        <v>729</v>
      </c>
      <c r="F150" t="s">
        <v>730</v>
      </c>
      <c r="G150">
        <v>49878</v>
      </c>
      <c r="H150">
        <v>0</v>
      </c>
      <c r="I150">
        <v>1.3</v>
      </c>
      <c r="J150">
        <v>77</v>
      </c>
      <c r="K150">
        <v>0</v>
      </c>
      <c r="L150" t="s">
        <v>50</v>
      </c>
    </row>
    <row r="151" spans="1:12">
      <c r="A151" t="s">
        <v>731</v>
      </c>
      <c r="B151" t="s">
        <v>399</v>
      </c>
      <c r="C151" t="s">
        <v>375</v>
      </c>
      <c r="D151" t="s">
        <v>378</v>
      </c>
      <c r="E151" t="s">
        <v>732</v>
      </c>
      <c r="G151">
        <v>338779</v>
      </c>
      <c r="H151">
        <v>0</v>
      </c>
      <c r="I151">
        <v>1.2</v>
      </c>
      <c r="J151">
        <v>94</v>
      </c>
      <c r="K151">
        <v>0</v>
      </c>
      <c r="L151" t="s">
        <v>50</v>
      </c>
    </row>
    <row r="152" spans="1:12">
      <c r="A152" t="s">
        <v>733</v>
      </c>
      <c r="B152" t="s">
        <v>399</v>
      </c>
      <c r="C152" t="s">
        <v>382</v>
      </c>
      <c r="D152" t="s">
        <v>365</v>
      </c>
      <c r="E152" t="s">
        <v>734</v>
      </c>
      <c r="G152">
        <v>255476</v>
      </c>
      <c r="H152">
        <v>0</v>
      </c>
      <c r="I152">
        <v>2.4</v>
      </c>
      <c r="J152">
        <v>95</v>
      </c>
      <c r="K152">
        <v>0</v>
      </c>
      <c r="L152" t="s">
        <v>50</v>
      </c>
    </row>
    <row r="153" spans="1:12">
      <c r="A153" t="s">
        <v>735</v>
      </c>
      <c r="B153" t="s">
        <v>374</v>
      </c>
      <c r="C153" t="s">
        <v>382</v>
      </c>
      <c r="D153" t="s">
        <v>437</v>
      </c>
      <c r="E153" t="s">
        <v>736</v>
      </c>
      <c r="G153">
        <v>291450</v>
      </c>
      <c r="H153">
        <v>0</v>
      </c>
      <c r="I153">
        <v>3.8</v>
      </c>
      <c r="J153">
        <v>57</v>
      </c>
      <c r="K153">
        <v>0</v>
      </c>
      <c r="L153" t="s">
        <v>50</v>
      </c>
    </row>
    <row r="154" spans="1:12">
      <c r="A154" t="s">
        <v>737</v>
      </c>
      <c r="B154" t="s">
        <v>363</v>
      </c>
      <c r="C154" t="s">
        <v>364</v>
      </c>
      <c r="D154" t="s">
        <v>387</v>
      </c>
      <c r="E154" t="s">
        <v>738</v>
      </c>
      <c r="G154">
        <v>63348</v>
      </c>
      <c r="H154">
        <v>38239</v>
      </c>
      <c r="I154">
        <v>3.8</v>
      </c>
      <c r="J154">
        <v>70</v>
      </c>
      <c r="K154">
        <v>3</v>
      </c>
      <c r="L154" t="s">
        <v>93</v>
      </c>
    </row>
    <row r="155" spans="1:12">
      <c r="A155" t="s">
        <v>739</v>
      </c>
      <c r="B155" t="s">
        <v>363</v>
      </c>
      <c r="C155" t="s">
        <v>382</v>
      </c>
      <c r="D155" t="s">
        <v>387</v>
      </c>
      <c r="E155" t="s">
        <v>740</v>
      </c>
      <c r="G155">
        <v>45129</v>
      </c>
      <c r="H155">
        <v>24360</v>
      </c>
      <c r="I155">
        <v>2.6</v>
      </c>
      <c r="J155">
        <v>43</v>
      </c>
      <c r="K155">
        <v>0</v>
      </c>
      <c r="L155" t="s">
        <v>50</v>
      </c>
    </row>
    <row r="156" spans="1:12">
      <c r="A156" t="s">
        <v>741</v>
      </c>
      <c r="B156" t="s">
        <v>399</v>
      </c>
      <c r="C156" t="s">
        <v>382</v>
      </c>
      <c r="D156" t="s">
        <v>387</v>
      </c>
      <c r="E156" t="s">
        <v>742</v>
      </c>
      <c r="G156">
        <v>51302</v>
      </c>
      <c r="H156">
        <v>0</v>
      </c>
      <c r="I156">
        <v>3.9</v>
      </c>
      <c r="J156">
        <v>100</v>
      </c>
      <c r="K156">
        <v>0</v>
      </c>
      <c r="L156" t="s">
        <v>50</v>
      </c>
    </row>
    <row r="157" spans="1:12">
      <c r="A157" t="s">
        <v>743</v>
      </c>
      <c r="B157" t="s">
        <v>368</v>
      </c>
      <c r="C157" t="s">
        <v>364</v>
      </c>
      <c r="D157" t="s">
        <v>369</v>
      </c>
      <c r="E157" t="s">
        <v>744</v>
      </c>
      <c r="G157">
        <v>151728</v>
      </c>
      <c r="H157">
        <v>0</v>
      </c>
      <c r="I157">
        <v>2</v>
      </c>
      <c r="J157">
        <v>72</v>
      </c>
      <c r="K157">
        <v>0</v>
      </c>
      <c r="L157" t="s">
        <v>50</v>
      </c>
    </row>
    <row r="158" spans="1:12">
      <c r="A158" t="s">
        <v>745</v>
      </c>
      <c r="B158" t="s">
        <v>374</v>
      </c>
      <c r="C158" t="s">
        <v>364</v>
      </c>
      <c r="D158" t="s">
        <v>387</v>
      </c>
      <c r="E158" t="s">
        <v>746</v>
      </c>
      <c r="G158">
        <v>63363</v>
      </c>
      <c r="H158">
        <v>0</v>
      </c>
      <c r="I158">
        <v>2.9</v>
      </c>
      <c r="J158">
        <v>92</v>
      </c>
      <c r="K158">
        <v>0</v>
      </c>
      <c r="L158" t="s">
        <v>50</v>
      </c>
    </row>
    <row r="159" spans="1:12">
      <c r="A159" t="s">
        <v>747</v>
      </c>
      <c r="B159" t="s">
        <v>374</v>
      </c>
      <c r="C159" t="s">
        <v>382</v>
      </c>
      <c r="D159" t="s">
        <v>365</v>
      </c>
      <c r="E159" t="s">
        <v>748</v>
      </c>
      <c r="G159">
        <v>224588</v>
      </c>
      <c r="H159">
        <v>0</v>
      </c>
      <c r="I159">
        <v>4.7</v>
      </c>
      <c r="J159">
        <v>95</v>
      </c>
      <c r="K159">
        <v>0</v>
      </c>
      <c r="L159" t="s">
        <v>50</v>
      </c>
    </row>
    <row r="160" spans="1:12">
      <c r="A160" t="s">
        <v>749</v>
      </c>
      <c r="B160" t="s">
        <v>374</v>
      </c>
      <c r="C160" t="s">
        <v>382</v>
      </c>
      <c r="D160" t="s">
        <v>369</v>
      </c>
      <c r="E160" t="s">
        <v>750</v>
      </c>
      <c r="G160">
        <v>125202</v>
      </c>
      <c r="H160">
        <v>14973</v>
      </c>
      <c r="I160">
        <v>1.6</v>
      </c>
      <c r="J160">
        <v>79</v>
      </c>
      <c r="K160">
        <v>0</v>
      </c>
      <c r="L160" t="s">
        <v>50</v>
      </c>
    </row>
    <row r="161" spans="1:12">
      <c r="A161" t="s">
        <v>751</v>
      </c>
      <c r="B161" t="s">
        <v>368</v>
      </c>
      <c r="C161" t="s">
        <v>375</v>
      </c>
      <c r="D161" t="s">
        <v>365</v>
      </c>
      <c r="E161" t="s">
        <v>752</v>
      </c>
      <c r="G161">
        <v>173428</v>
      </c>
      <c r="H161">
        <v>21163</v>
      </c>
      <c r="I161">
        <v>1</v>
      </c>
      <c r="J161">
        <v>42</v>
      </c>
      <c r="K161">
        <v>0</v>
      </c>
      <c r="L161" t="s">
        <v>50</v>
      </c>
    </row>
    <row r="162" spans="1:12">
      <c r="A162" t="s">
        <v>753</v>
      </c>
      <c r="B162" t="s">
        <v>399</v>
      </c>
      <c r="C162" t="s">
        <v>375</v>
      </c>
      <c r="D162" t="s">
        <v>378</v>
      </c>
      <c r="E162" t="s">
        <v>754</v>
      </c>
      <c r="G162">
        <v>398937</v>
      </c>
      <c r="H162">
        <v>47169</v>
      </c>
      <c r="I162">
        <v>1.5</v>
      </c>
      <c r="J162">
        <v>100</v>
      </c>
      <c r="K162">
        <v>3</v>
      </c>
      <c r="L162" t="s">
        <v>50</v>
      </c>
    </row>
    <row r="163" spans="1:12">
      <c r="A163" t="s">
        <v>755</v>
      </c>
      <c r="B163" t="s">
        <v>374</v>
      </c>
      <c r="C163" t="s">
        <v>364</v>
      </c>
      <c r="D163" t="s">
        <v>383</v>
      </c>
      <c r="E163" t="s">
        <v>756</v>
      </c>
      <c r="G163">
        <v>81400</v>
      </c>
      <c r="H163">
        <v>0</v>
      </c>
      <c r="I163">
        <v>4.7</v>
      </c>
      <c r="J163">
        <v>61</v>
      </c>
      <c r="K163">
        <v>2</v>
      </c>
      <c r="L163" t="s">
        <v>50</v>
      </c>
    </row>
    <row r="164" spans="1:12">
      <c r="A164" t="s">
        <v>757</v>
      </c>
      <c r="B164" t="s">
        <v>399</v>
      </c>
      <c r="C164" t="s">
        <v>364</v>
      </c>
      <c r="D164" t="s">
        <v>387</v>
      </c>
      <c r="E164" t="s">
        <v>758</v>
      </c>
      <c r="G164">
        <v>53854</v>
      </c>
      <c r="H164">
        <v>0</v>
      </c>
      <c r="I164">
        <v>4.0999999999999996</v>
      </c>
      <c r="J164">
        <v>54</v>
      </c>
      <c r="K164">
        <v>0</v>
      </c>
      <c r="L164" t="s">
        <v>50</v>
      </c>
    </row>
    <row r="165" spans="1:12">
      <c r="A165" t="s">
        <v>759</v>
      </c>
      <c r="B165" t="s">
        <v>368</v>
      </c>
      <c r="C165" t="s">
        <v>4</v>
      </c>
      <c r="D165" t="s">
        <v>387</v>
      </c>
      <c r="E165" t="s">
        <v>760</v>
      </c>
      <c r="F165" t="s">
        <v>761</v>
      </c>
      <c r="G165">
        <v>53580</v>
      </c>
      <c r="H165">
        <v>534361</v>
      </c>
      <c r="I165">
        <v>3.5</v>
      </c>
      <c r="J165">
        <v>92</v>
      </c>
      <c r="K165">
        <v>0</v>
      </c>
      <c r="L165" t="s">
        <v>50</v>
      </c>
    </row>
    <row r="166" spans="1:12">
      <c r="A166" t="s">
        <v>762</v>
      </c>
      <c r="B166" t="s">
        <v>399</v>
      </c>
      <c r="C166" t="s">
        <v>375</v>
      </c>
      <c r="D166" t="s">
        <v>378</v>
      </c>
      <c r="E166" t="s">
        <v>763</v>
      </c>
      <c r="G166">
        <v>305214</v>
      </c>
      <c r="H166">
        <v>0</v>
      </c>
      <c r="I166">
        <v>2.6</v>
      </c>
      <c r="J166">
        <v>85</v>
      </c>
      <c r="K166">
        <v>1</v>
      </c>
      <c r="L166" t="s">
        <v>50</v>
      </c>
    </row>
    <row r="167" spans="1:12">
      <c r="A167" t="s">
        <v>764</v>
      </c>
      <c r="B167" t="s">
        <v>363</v>
      </c>
      <c r="C167" t="s">
        <v>382</v>
      </c>
      <c r="D167" t="s">
        <v>369</v>
      </c>
      <c r="E167" t="s">
        <v>765</v>
      </c>
      <c r="G167">
        <v>230349</v>
      </c>
      <c r="H167">
        <v>0</v>
      </c>
      <c r="I167">
        <v>1.4</v>
      </c>
      <c r="J167">
        <v>75</v>
      </c>
      <c r="K167">
        <v>3</v>
      </c>
      <c r="L167" t="s">
        <v>50</v>
      </c>
    </row>
    <row r="168" spans="1:12">
      <c r="A168" t="s">
        <v>766</v>
      </c>
      <c r="B168" t="s">
        <v>368</v>
      </c>
      <c r="C168" t="s">
        <v>4</v>
      </c>
      <c r="D168" t="s">
        <v>417</v>
      </c>
      <c r="E168" t="s">
        <v>767</v>
      </c>
      <c r="F168" t="s">
        <v>768</v>
      </c>
      <c r="G168">
        <v>244445</v>
      </c>
      <c r="H168">
        <v>1624141</v>
      </c>
      <c r="I168">
        <v>3</v>
      </c>
      <c r="J168">
        <v>45</v>
      </c>
      <c r="K168">
        <v>0</v>
      </c>
      <c r="L168" t="s">
        <v>50</v>
      </c>
    </row>
    <row r="169" spans="1:12">
      <c r="A169" t="s">
        <v>769</v>
      </c>
      <c r="B169" t="s">
        <v>399</v>
      </c>
      <c r="C169" t="s">
        <v>375</v>
      </c>
      <c r="D169" t="s">
        <v>383</v>
      </c>
      <c r="E169" t="s">
        <v>770</v>
      </c>
      <c r="G169">
        <v>112586</v>
      </c>
      <c r="H169">
        <v>28440</v>
      </c>
      <c r="I169">
        <v>1.7</v>
      </c>
      <c r="J169">
        <v>92</v>
      </c>
      <c r="K169">
        <v>0</v>
      </c>
      <c r="L169" t="s">
        <v>50</v>
      </c>
    </row>
    <row r="170" spans="1:12">
      <c r="A170" t="s">
        <v>771</v>
      </c>
      <c r="B170" t="s">
        <v>363</v>
      </c>
      <c r="C170" t="s">
        <v>375</v>
      </c>
      <c r="D170" t="s">
        <v>365</v>
      </c>
      <c r="E170" t="s">
        <v>772</v>
      </c>
      <c r="G170">
        <v>250964</v>
      </c>
      <c r="H170">
        <v>0</v>
      </c>
      <c r="I170">
        <v>1.6</v>
      </c>
      <c r="J170">
        <v>87</v>
      </c>
      <c r="K170">
        <v>0</v>
      </c>
      <c r="L170" t="s">
        <v>50</v>
      </c>
    </row>
    <row r="171" spans="1:12">
      <c r="A171" t="s">
        <v>773</v>
      </c>
      <c r="B171" t="s">
        <v>399</v>
      </c>
      <c r="C171" t="s">
        <v>4</v>
      </c>
      <c r="D171" t="s">
        <v>387</v>
      </c>
      <c r="E171" t="s">
        <v>774</v>
      </c>
      <c r="G171">
        <v>75893</v>
      </c>
      <c r="H171">
        <v>1608766</v>
      </c>
      <c r="I171">
        <v>4.2</v>
      </c>
      <c r="J171">
        <v>85</v>
      </c>
      <c r="K171">
        <v>2</v>
      </c>
      <c r="L171" t="s">
        <v>50</v>
      </c>
    </row>
    <row r="172" spans="1:12">
      <c r="A172" t="s">
        <v>775</v>
      </c>
      <c r="B172" t="s">
        <v>374</v>
      </c>
      <c r="C172" t="s">
        <v>4</v>
      </c>
      <c r="D172" t="s">
        <v>365</v>
      </c>
      <c r="E172" t="s">
        <v>776</v>
      </c>
      <c r="F172" t="s">
        <v>777</v>
      </c>
      <c r="G172">
        <v>239264</v>
      </c>
      <c r="H172">
        <v>1224743</v>
      </c>
      <c r="I172">
        <v>3.6</v>
      </c>
      <c r="J172">
        <v>68</v>
      </c>
      <c r="K172">
        <v>3</v>
      </c>
      <c r="L172" t="s">
        <v>50</v>
      </c>
    </row>
    <row r="173" spans="1:12">
      <c r="A173" t="s">
        <v>778</v>
      </c>
      <c r="B173" t="s">
        <v>368</v>
      </c>
      <c r="C173" t="s">
        <v>4</v>
      </c>
      <c r="D173" t="s">
        <v>365</v>
      </c>
      <c r="E173" t="s">
        <v>779</v>
      </c>
      <c r="G173">
        <v>213316</v>
      </c>
      <c r="H173">
        <v>1769278</v>
      </c>
      <c r="I173">
        <v>3.3</v>
      </c>
      <c r="J173">
        <v>98</v>
      </c>
      <c r="K173">
        <v>0</v>
      </c>
      <c r="L173" t="s">
        <v>50</v>
      </c>
    </row>
    <row r="174" spans="1:12">
      <c r="A174" t="s">
        <v>780</v>
      </c>
      <c r="B174" t="s">
        <v>374</v>
      </c>
      <c r="C174" t="s">
        <v>4</v>
      </c>
      <c r="D174" t="s">
        <v>378</v>
      </c>
      <c r="E174" t="s">
        <v>781</v>
      </c>
      <c r="F174" t="s">
        <v>782</v>
      </c>
      <c r="G174">
        <v>446908</v>
      </c>
      <c r="H174">
        <v>476747</v>
      </c>
      <c r="I174">
        <v>3</v>
      </c>
      <c r="J174">
        <v>79</v>
      </c>
      <c r="K174">
        <v>1</v>
      </c>
      <c r="L174" t="s">
        <v>50</v>
      </c>
    </row>
    <row r="175" spans="1:12">
      <c r="A175" t="s">
        <v>783</v>
      </c>
      <c r="B175" t="s">
        <v>399</v>
      </c>
      <c r="C175" t="s">
        <v>4</v>
      </c>
      <c r="D175" t="s">
        <v>365</v>
      </c>
      <c r="E175" t="s">
        <v>784</v>
      </c>
      <c r="G175">
        <v>205008</v>
      </c>
      <c r="H175">
        <v>647183</v>
      </c>
      <c r="I175">
        <v>4</v>
      </c>
      <c r="J175">
        <v>91</v>
      </c>
      <c r="K175">
        <v>0</v>
      </c>
      <c r="L175" t="s">
        <v>50</v>
      </c>
    </row>
    <row r="176" spans="1:12">
      <c r="A176" t="s">
        <v>785</v>
      </c>
      <c r="B176" t="s">
        <v>374</v>
      </c>
      <c r="C176" t="s">
        <v>4</v>
      </c>
      <c r="D176" t="s">
        <v>383</v>
      </c>
      <c r="E176" t="s">
        <v>786</v>
      </c>
      <c r="G176">
        <v>141024</v>
      </c>
      <c r="H176">
        <v>2389975</v>
      </c>
      <c r="I176">
        <v>1.5</v>
      </c>
      <c r="J176">
        <v>84</v>
      </c>
      <c r="K176">
        <v>0</v>
      </c>
      <c r="L176" t="s">
        <v>50</v>
      </c>
    </row>
    <row r="177" spans="1:12">
      <c r="A177" t="s">
        <v>787</v>
      </c>
      <c r="B177" t="s">
        <v>374</v>
      </c>
      <c r="C177" t="s">
        <v>364</v>
      </c>
      <c r="D177" t="s">
        <v>378</v>
      </c>
      <c r="E177" t="s">
        <v>788</v>
      </c>
      <c r="G177">
        <v>384937</v>
      </c>
      <c r="H177">
        <v>0</v>
      </c>
      <c r="I177">
        <v>4.5999999999999996</v>
      </c>
      <c r="J177">
        <v>59</v>
      </c>
      <c r="K177">
        <v>3</v>
      </c>
      <c r="L177" t="s">
        <v>50</v>
      </c>
    </row>
    <row r="178" spans="1:12">
      <c r="A178" t="s">
        <v>789</v>
      </c>
      <c r="B178" t="s">
        <v>363</v>
      </c>
      <c r="C178" t="s">
        <v>382</v>
      </c>
      <c r="D178" t="s">
        <v>437</v>
      </c>
      <c r="E178" t="s">
        <v>790</v>
      </c>
      <c r="G178">
        <v>348234</v>
      </c>
      <c r="H178">
        <v>32810</v>
      </c>
      <c r="I178">
        <v>3.9</v>
      </c>
      <c r="J178">
        <v>76</v>
      </c>
      <c r="K178">
        <v>1</v>
      </c>
      <c r="L178" t="s">
        <v>50</v>
      </c>
    </row>
    <row r="179" spans="1:12">
      <c r="A179" t="s">
        <v>791</v>
      </c>
      <c r="B179" t="s">
        <v>363</v>
      </c>
      <c r="C179" t="s">
        <v>382</v>
      </c>
      <c r="D179" t="s">
        <v>437</v>
      </c>
      <c r="E179" t="s">
        <v>792</v>
      </c>
      <c r="F179" t="s">
        <v>793</v>
      </c>
      <c r="G179">
        <v>411546</v>
      </c>
      <c r="H179">
        <v>21761</v>
      </c>
      <c r="I179">
        <v>1.5</v>
      </c>
      <c r="J179">
        <v>99</v>
      </c>
      <c r="K179">
        <v>1</v>
      </c>
      <c r="L179" t="s">
        <v>50</v>
      </c>
    </row>
    <row r="180" spans="1:12">
      <c r="A180" t="s">
        <v>794</v>
      </c>
      <c r="B180" t="s">
        <v>399</v>
      </c>
      <c r="C180" t="s">
        <v>375</v>
      </c>
      <c r="D180" t="s">
        <v>378</v>
      </c>
      <c r="E180" t="s">
        <v>795</v>
      </c>
      <c r="G180">
        <v>547659</v>
      </c>
      <c r="H180">
        <v>13949</v>
      </c>
      <c r="I180">
        <v>1.6</v>
      </c>
      <c r="J180">
        <v>59</v>
      </c>
      <c r="K180">
        <v>0</v>
      </c>
      <c r="L180" t="s">
        <v>50</v>
      </c>
    </row>
    <row r="181" spans="1:12">
      <c r="A181" t="s">
        <v>796</v>
      </c>
      <c r="B181" t="s">
        <v>368</v>
      </c>
      <c r="C181" t="s">
        <v>375</v>
      </c>
      <c r="D181" t="s">
        <v>383</v>
      </c>
      <c r="E181" t="s">
        <v>797</v>
      </c>
      <c r="G181">
        <v>110002</v>
      </c>
      <c r="H181">
        <v>0</v>
      </c>
      <c r="I181">
        <v>1.5</v>
      </c>
      <c r="J181">
        <v>62</v>
      </c>
      <c r="K181">
        <v>2</v>
      </c>
      <c r="L181" t="s">
        <v>50</v>
      </c>
    </row>
    <row r="182" spans="1:12">
      <c r="A182" t="s">
        <v>798</v>
      </c>
      <c r="B182" t="s">
        <v>399</v>
      </c>
      <c r="C182" t="s">
        <v>382</v>
      </c>
      <c r="D182" t="s">
        <v>365</v>
      </c>
      <c r="E182" t="s">
        <v>799</v>
      </c>
      <c r="F182" t="s">
        <v>800</v>
      </c>
      <c r="G182">
        <v>219116</v>
      </c>
      <c r="H182">
        <v>0</v>
      </c>
      <c r="I182">
        <v>1.4</v>
      </c>
      <c r="J182">
        <v>78</v>
      </c>
      <c r="K182">
        <v>0</v>
      </c>
      <c r="L182" t="s">
        <v>50</v>
      </c>
    </row>
    <row r="183" spans="1:12">
      <c r="A183" t="s">
        <v>801</v>
      </c>
      <c r="B183" t="s">
        <v>374</v>
      </c>
      <c r="C183" t="s">
        <v>364</v>
      </c>
      <c r="D183" t="s">
        <v>437</v>
      </c>
      <c r="E183" t="s">
        <v>802</v>
      </c>
      <c r="G183">
        <v>249432</v>
      </c>
      <c r="H183">
        <v>0</v>
      </c>
      <c r="I183">
        <v>3.8</v>
      </c>
      <c r="J183">
        <v>40</v>
      </c>
      <c r="K183">
        <v>0</v>
      </c>
      <c r="L183" t="s">
        <v>50</v>
      </c>
    </row>
    <row r="184" spans="1:12">
      <c r="A184" t="s">
        <v>803</v>
      </c>
      <c r="B184" t="s">
        <v>399</v>
      </c>
      <c r="C184" t="s">
        <v>4</v>
      </c>
      <c r="D184" t="s">
        <v>437</v>
      </c>
      <c r="E184" t="s">
        <v>804</v>
      </c>
      <c r="G184">
        <v>396756</v>
      </c>
      <c r="H184">
        <v>512005</v>
      </c>
      <c r="I184">
        <v>4.7</v>
      </c>
      <c r="J184">
        <v>70</v>
      </c>
      <c r="K184">
        <v>0</v>
      </c>
      <c r="L184" t="s">
        <v>93</v>
      </c>
    </row>
    <row r="185" spans="1:12">
      <c r="A185" t="s">
        <v>805</v>
      </c>
      <c r="B185" t="s">
        <v>368</v>
      </c>
      <c r="C185" t="s">
        <v>375</v>
      </c>
      <c r="D185" t="s">
        <v>378</v>
      </c>
      <c r="E185" t="s">
        <v>806</v>
      </c>
      <c r="G185">
        <v>459151</v>
      </c>
      <c r="H185">
        <v>0</v>
      </c>
      <c r="I185">
        <v>3.1</v>
      </c>
      <c r="J185">
        <v>91</v>
      </c>
      <c r="K185">
        <v>1</v>
      </c>
      <c r="L185" t="s">
        <v>50</v>
      </c>
    </row>
    <row r="186" spans="1:12">
      <c r="A186" t="s">
        <v>807</v>
      </c>
      <c r="B186" t="s">
        <v>368</v>
      </c>
      <c r="C186" t="s">
        <v>382</v>
      </c>
      <c r="D186" t="s">
        <v>417</v>
      </c>
      <c r="E186" t="s">
        <v>808</v>
      </c>
      <c r="F186" t="s">
        <v>809</v>
      </c>
      <c r="G186">
        <v>208995</v>
      </c>
      <c r="H186">
        <v>0</v>
      </c>
      <c r="I186">
        <v>3.1</v>
      </c>
      <c r="J186">
        <v>97</v>
      </c>
      <c r="K186">
        <v>0</v>
      </c>
      <c r="L186" t="s">
        <v>50</v>
      </c>
    </row>
    <row r="187" spans="1:12">
      <c r="A187" t="s">
        <v>810</v>
      </c>
      <c r="B187" t="s">
        <v>363</v>
      </c>
      <c r="C187" t="s">
        <v>375</v>
      </c>
      <c r="D187" t="s">
        <v>378</v>
      </c>
      <c r="E187" t="s">
        <v>811</v>
      </c>
      <c r="G187">
        <v>467306</v>
      </c>
      <c r="H187">
        <v>0</v>
      </c>
      <c r="I187">
        <v>4</v>
      </c>
      <c r="J187">
        <v>84</v>
      </c>
      <c r="K187">
        <v>0</v>
      </c>
      <c r="L187" t="s">
        <v>50</v>
      </c>
    </row>
    <row r="188" spans="1:12">
      <c r="A188" t="s">
        <v>812</v>
      </c>
      <c r="B188" t="s">
        <v>363</v>
      </c>
      <c r="C188" t="s">
        <v>382</v>
      </c>
      <c r="D188" t="s">
        <v>437</v>
      </c>
      <c r="E188" t="s">
        <v>813</v>
      </c>
      <c r="F188" t="s">
        <v>814</v>
      </c>
      <c r="G188">
        <v>383448</v>
      </c>
      <c r="H188">
        <v>28633</v>
      </c>
      <c r="I188">
        <v>3.3</v>
      </c>
      <c r="J188">
        <v>46</v>
      </c>
      <c r="K188">
        <v>0</v>
      </c>
      <c r="L188" t="s">
        <v>50</v>
      </c>
    </row>
    <row r="189" spans="1:12">
      <c r="A189" t="s">
        <v>815</v>
      </c>
      <c r="B189" t="s">
        <v>374</v>
      </c>
      <c r="C189" t="s">
        <v>364</v>
      </c>
      <c r="D189" t="s">
        <v>437</v>
      </c>
      <c r="E189" t="s">
        <v>550</v>
      </c>
      <c r="G189">
        <v>454464</v>
      </c>
      <c r="H189">
        <v>16336</v>
      </c>
      <c r="I189">
        <v>4.3</v>
      </c>
      <c r="J189">
        <v>46</v>
      </c>
      <c r="K189">
        <v>3</v>
      </c>
      <c r="L189" t="s">
        <v>50</v>
      </c>
    </row>
    <row r="190" spans="1:12">
      <c r="A190" t="s">
        <v>816</v>
      </c>
      <c r="B190" t="s">
        <v>374</v>
      </c>
      <c r="C190" t="s">
        <v>4</v>
      </c>
      <c r="D190" t="s">
        <v>437</v>
      </c>
      <c r="E190" t="s">
        <v>817</v>
      </c>
      <c r="G190">
        <v>475680</v>
      </c>
      <c r="H190">
        <v>245306</v>
      </c>
      <c r="I190">
        <v>2.7</v>
      </c>
      <c r="J190">
        <v>100</v>
      </c>
      <c r="K190">
        <v>0</v>
      </c>
      <c r="L190" t="s">
        <v>93</v>
      </c>
    </row>
    <row r="191" spans="1:12">
      <c r="A191" t="s">
        <v>818</v>
      </c>
      <c r="B191" t="s">
        <v>399</v>
      </c>
      <c r="C191" t="s">
        <v>375</v>
      </c>
      <c r="D191" t="s">
        <v>383</v>
      </c>
      <c r="E191" t="s">
        <v>819</v>
      </c>
      <c r="G191">
        <v>120304</v>
      </c>
      <c r="H191">
        <v>0</v>
      </c>
      <c r="I191">
        <v>3.6</v>
      </c>
      <c r="J191">
        <v>97</v>
      </c>
      <c r="K191">
        <v>0</v>
      </c>
      <c r="L191" t="s">
        <v>50</v>
      </c>
    </row>
    <row r="192" spans="1:12">
      <c r="A192" t="s">
        <v>820</v>
      </c>
      <c r="B192" t="s">
        <v>399</v>
      </c>
      <c r="C192" t="s">
        <v>4</v>
      </c>
      <c r="D192" t="s">
        <v>378</v>
      </c>
      <c r="E192" t="s">
        <v>821</v>
      </c>
      <c r="G192">
        <v>346668</v>
      </c>
      <c r="H192">
        <v>389017</v>
      </c>
      <c r="I192">
        <v>1.3</v>
      </c>
      <c r="J192">
        <v>88</v>
      </c>
      <c r="K192">
        <v>1</v>
      </c>
      <c r="L192" t="s">
        <v>50</v>
      </c>
    </row>
    <row r="193" spans="1:12">
      <c r="A193" t="s">
        <v>822</v>
      </c>
      <c r="B193" t="s">
        <v>399</v>
      </c>
      <c r="C193" t="s">
        <v>382</v>
      </c>
      <c r="D193" t="s">
        <v>378</v>
      </c>
      <c r="E193" t="s">
        <v>823</v>
      </c>
      <c r="F193" t="s">
        <v>824</v>
      </c>
      <c r="G193">
        <v>521689</v>
      </c>
      <c r="H193">
        <v>0</v>
      </c>
      <c r="I193">
        <v>3.8</v>
      </c>
      <c r="J193">
        <v>91</v>
      </c>
      <c r="K193">
        <v>0</v>
      </c>
      <c r="L193" t="s">
        <v>50</v>
      </c>
    </row>
    <row r="194" spans="1:12">
      <c r="A194" t="s">
        <v>825</v>
      </c>
      <c r="B194" t="s">
        <v>368</v>
      </c>
      <c r="C194" t="s">
        <v>375</v>
      </c>
      <c r="D194" t="s">
        <v>417</v>
      </c>
      <c r="E194" t="s">
        <v>826</v>
      </c>
      <c r="G194">
        <v>391970</v>
      </c>
      <c r="H194">
        <v>0</v>
      </c>
      <c r="I194">
        <v>2.9</v>
      </c>
      <c r="J194">
        <v>50</v>
      </c>
      <c r="K194">
        <v>0</v>
      </c>
      <c r="L194" t="s">
        <v>50</v>
      </c>
    </row>
    <row r="195" spans="1:12">
      <c r="A195" t="s">
        <v>827</v>
      </c>
      <c r="B195" t="s">
        <v>374</v>
      </c>
      <c r="C195" t="s">
        <v>364</v>
      </c>
      <c r="D195" t="s">
        <v>365</v>
      </c>
      <c r="E195" t="s">
        <v>828</v>
      </c>
      <c r="G195">
        <v>263792</v>
      </c>
      <c r="H195">
        <v>0</v>
      </c>
      <c r="I195">
        <v>1.6</v>
      </c>
      <c r="J195">
        <v>74</v>
      </c>
      <c r="K195">
        <v>0</v>
      </c>
      <c r="L195" t="s">
        <v>50</v>
      </c>
    </row>
    <row r="196" spans="1:12">
      <c r="A196" t="s">
        <v>829</v>
      </c>
      <c r="B196" t="s">
        <v>363</v>
      </c>
      <c r="C196" t="s">
        <v>382</v>
      </c>
      <c r="D196" t="s">
        <v>387</v>
      </c>
      <c r="E196" t="s">
        <v>830</v>
      </c>
      <c r="G196">
        <v>65922</v>
      </c>
      <c r="H196">
        <v>0</v>
      </c>
      <c r="I196">
        <v>4.3</v>
      </c>
      <c r="J196">
        <v>74</v>
      </c>
      <c r="K196">
        <v>3</v>
      </c>
      <c r="L196" t="s">
        <v>50</v>
      </c>
    </row>
    <row r="197" spans="1:12">
      <c r="A197" t="s">
        <v>831</v>
      </c>
      <c r="B197" t="s">
        <v>399</v>
      </c>
      <c r="C197" t="s">
        <v>382</v>
      </c>
      <c r="D197" t="s">
        <v>365</v>
      </c>
      <c r="E197" t="s">
        <v>832</v>
      </c>
      <c r="G197">
        <v>267000</v>
      </c>
      <c r="H197">
        <v>40201</v>
      </c>
      <c r="I197">
        <v>3.1</v>
      </c>
      <c r="J197">
        <v>96</v>
      </c>
      <c r="K197">
        <v>0</v>
      </c>
      <c r="L197" t="s">
        <v>93</v>
      </c>
    </row>
    <row r="198" spans="1:12">
      <c r="A198" t="s">
        <v>833</v>
      </c>
      <c r="B198" t="s">
        <v>363</v>
      </c>
      <c r="C198" t="s">
        <v>375</v>
      </c>
      <c r="D198" t="s">
        <v>383</v>
      </c>
      <c r="E198" t="s">
        <v>834</v>
      </c>
      <c r="G198">
        <v>140008</v>
      </c>
      <c r="H198">
        <v>0</v>
      </c>
      <c r="I198">
        <v>2</v>
      </c>
      <c r="J198">
        <v>61</v>
      </c>
      <c r="K198">
        <v>0</v>
      </c>
      <c r="L198" t="s">
        <v>50</v>
      </c>
    </row>
    <row r="199" spans="1:12">
      <c r="A199" t="s">
        <v>835</v>
      </c>
      <c r="B199" t="s">
        <v>374</v>
      </c>
      <c r="C199" t="s">
        <v>4</v>
      </c>
      <c r="D199" t="s">
        <v>417</v>
      </c>
      <c r="E199" t="s">
        <v>836</v>
      </c>
      <c r="G199">
        <v>301960</v>
      </c>
      <c r="H199">
        <v>1861781</v>
      </c>
      <c r="I199">
        <v>3.2</v>
      </c>
      <c r="J199">
        <v>67</v>
      </c>
      <c r="K199">
        <v>2</v>
      </c>
      <c r="L199" t="s">
        <v>50</v>
      </c>
    </row>
    <row r="200" spans="1:12">
      <c r="A200" t="s">
        <v>837</v>
      </c>
      <c r="B200" t="s">
        <v>363</v>
      </c>
      <c r="C200" t="s">
        <v>364</v>
      </c>
      <c r="D200" t="s">
        <v>378</v>
      </c>
      <c r="E200" t="s">
        <v>838</v>
      </c>
      <c r="F200" t="s">
        <v>839</v>
      </c>
      <c r="G200">
        <v>323162</v>
      </c>
      <c r="H200">
        <v>0</v>
      </c>
      <c r="I200">
        <v>3.1</v>
      </c>
      <c r="J200">
        <v>98</v>
      </c>
      <c r="K200">
        <v>1</v>
      </c>
      <c r="L200" t="s">
        <v>50</v>
      </c>
    </row>
    <row r="201" spans="1:12">
      <c r="A201" t="s">
        <v>840</v>
      </c>
      <c r="B201" t="s">
        <v>374</v>
      </c>
      <c r="C201" t="s">
        <v>4</v>
      </c>
      <c r="D201" t="s">
        <v>383</v>
      </c>
      <c r="E201" t="s">
        <v>841</v>
      </c>
      <c r="G201">
        <v>157000</v>
      </c>
      <c r="H201">
        <v>2452480</v>
      </c>
      <c r="I201">
        <v>3.4</v>
      </c>
      <c r="J201">
        <v>46</v>
      </c>
      <c r="K201">
        <v>0</v>
      </c>
      <c r="L201" t="s">
        <v>50</v>
      </c>
    </row>
    <row r="202" spans="1:12">
      <c r="A202" t="s">
        <v>842</v>
      </c>
      <c r="B202" t="s">
        <v>399</v>
      </c>
      <c r="C202" t="s">
        <v>375</v>
      </c>
      <c r="D202" t="s">
        <v>365</v>
      </c>
      <c r="E202" t="s">
        <v>459</v>
      </c>
      <c r="G202">
        <v>227968</v>
      </c>
      <c r="H202">
        <v>18618</v>
      </c>
      <c r="I202">
        <v>3.5</v>
      </c>
      <c r="J202">
        <v>53</v>
      </c>
      <c r="K202">
        <v>0</v>
      </c>
      <c r="L202" t="s">
        <v>50</v>
      </c>
    </row>
    <row r="203" spans="1:12">
      <c r="A203" t="s">
        <v>843</v>
      </c>
      <c r="B203" t="s">
        <v>374</v>
      </c>
      <c r="C203" t="s">
        <v>375</v>
      </c>
      <c r="D203" t="s">
        <v>369</v>
      </c>
      <c r="E203" t="s">
        <v>844</v>
      </c>
      <c r="G203">
        <v>133212</v>
      </c>
      <c r="H203">
        <v>0</v>
      </c>
      <c r="I203">
        <v>4.4000000000000004</v>
      </c>
      <c r="J203">
        <v>85</v>
      </c>
      <c r="K203">
        <v>1</v>
      </c>
      <c r="L203" t="s">
        <v>50</v>
      </c>
    </row>
    <row r="204" spans="1:12">
      <c r="A204" t="s">
        <v>845</v>
      </c>
      <c r="B204" t="s">
        <v>374</v>
      </c>
      <c r="C204" t="s">
        <v>364</v>
      </c>
      <c r="D204" t="s">
        <v>437</v>
      </c>
      <c r="E204" t="s">
        <v>846</v>
      </c>
      <c r="G204">
        <v>307542</v>
      </c>
      <c r="H204">
        <v>47665</v>
      </c>
      <c r="I204">
        <v>1</v>
      </c>
      <c r="J204">
        <v>78</v>
      </c>
      <c r="K204">
        <v>0</v>
      </c>
      <c r="L204" t="s">
        <v>50</v>
      </c>
    </row>
    <row r="205" spans="1:12">
      <c r="A205" t="s">
        <v>847</v>
      </c>
      <c r="B205" t="s">
        <v>374</v>
      </c>
      <c r="C205" t="s">
        <v>375</v>
      </c>
      <c r="D205" t="s">
        <v>378</v>
      </c>
      <c r="E205" t="s">
        <v>848</v>
      </c>
      <c r="G205">
        <v>339416</v>
      </c>
      <c r="H205">
        <v>0</v>
      </c>
      <c r="I205">
        <v>1.9</v>
      </c>
      <c r="J205">
        <v>49</v>
      </c>
      <c r="K205">
        <v>3</v>
      </c>
      <c r="L205" t="s">
        <v>93</v>
      </c>
    </row>
    <row r="206" spans="1:12">
      <c r="A206" t="s">
        <v>849</v>
      </c>
      <c r="B206" t="s">
        <v>399</v>
      </c>
      <c r="C206" t="s">
        <v>382</v>
      </c>
      <c r="D206" t="s">
        <v>378</v>
      </c>
      <c r="E206" t="s">
        <v>850</v>
      </c>
      <c r="G206">
        <v>520772</v>
      </c>
      <c r="H206">
        <v>0</v>
      </c>
      <c r="I206">
        <v>4.5999999999999996</v>
      </c>
      <c r="J206">
        <v>56</v>
      </c>
      <c r="K206">
        <v>0</v>
      </c>
      <c r="L206" t="s">
        <v>50</v>
      </c>
    </row>
    <row r="207" spans="1:12">
      <c r="A207" t="s">
        <v>851</v>
      </c>
      <c r="B207" t="s">
        <v>374</v>
      </c>
      <c r="C207" t="s">
        <v>382</v>
      </c>
      <c r="D207" t="s">
        <v>437</v>
      </c>
      <c r="E207" t="s">
        <v>852</v>
      </c>
      <c r="G207">
        <v>382986</v>
      </c>
      <c r="H207">
        <v>18997</v>
      </c>
      <c r="I207">
        <v>3.1</v>
      </c>
      <c r="J207">
        <v>79</v>
      </c>
      <c r="K207">
        <v>0</v>
      </c>
      <c r="L207" t="s">
        <v>50</v>
      </c>
    </row>
    <row r="208" spans="1:12">
      <c r="A208" t="s">
        <v>853</v>
      </c>
      <c r="B208" t="s">
        <v>368</v>
      </c>
      <c r="C208" t="s">
        <v>4</v>
      </c>
      <c r="D208" t="s">
        <v>365</v>
      </c>
      <c r="E208" t="s">
        <v>854</v>
      </c>
      <c r="G208">
        <v>288656</v>
      </c>
      <c r="H208">
        <v>1168329</v>
      </c>
      <c r="I208">
        <v>4.5</v>
      </c>
      <c r="J208">
        <v>67</v>
      </c>
      <c r="K208">
        <v>3</v>
      </c>
      <c r="L208" t="s">
        <v>50</v>
      </c>
    </row>
    <row r="209" spans="1:12">
      <c r="A209" t="s">
        <v>855</v>
      </c>
      <c r="B209" t="s">
        <v>368</v>
      </c>
      <c r="C209" t="s">
        <v>4</v>
      </c>
      <c r="D209" t="s">
        <v>387</v>
      </c>
      <c r="E209" t="s">
        <v>856</v>
      </c>
      <c r="F209" t="s">
        <v>857</v>
      </c>
      <c r="G209">
        <v>59876</v>
      </c>
      <c r="H209">
        <v>1669781</v>
      </c>
      <c r="I209">
        <v>1.3</v>
      </c>
      <c r="J209">
        <v>86</v>
      </c>
      <c r="K209">
        <v>2</v>
      </c>
      <c r="L209" t="s">
        <v>50</v>
      </c>
    </row>
    <row r="210" spans="1:12">
      <c r="A210" t="s">
        <v>858</v>
      </c>
      <c r="B210" t="s">
        <v>363</v>
      </c>
      <c r="C210" t="s">
        <v>364</v>
      </c>
      <c r="D210" t="s">
        <v>383</v>
      </c>
      <c r="E210" t="s">
        <v>859</v>
      </c>
      <c r="F210" t="s">
        <v>860</v>
      </c>
      <c r="G210">
        <v>142400</v>
      </c>
      <c r="H210">
        <v>40665</v>
      </c>
      <c r="I210">
        <v>2.5</v>
      </c>
      <c r="J210">
        <v>50</v>
      </c>
      <c r="K210">
        <v>1</v>
      </c>
      <c r="L210" t="s">
        <v>50</v>
      </c>
    </row>
    <row r="211" spans="1:12">
      <c r="A211" t="s">
        <v>861</v>
      </c>
      <c r="B211" t="s">
        <v>368</v>
      </c>
      <c r="C211" t="s">
        <v>382</v>
      </c>
      <c r="D211" t="s">
        <v>369</v>
      </c>
      <c r="E211" t="s">
        <v>862</v>
      </c>
      <c r="G211">
        <v>131184</v>
      </c>
      <c r="H211">
        <v>0</v>
      </c>
      <c r="I211">
        <v>2.5</v>
      </c>
      <c r="J211">
        <v>62</v>
      </c>
      <c r="K211">
        <v>0</v>
      </c>
      <c r="L211" t="s">
        <v>50</v>
      </c>
    </row>
    <row r="212" spans="1:12">
      <c r="A212" t="s">
        <v>863</v>
      </c>
      <c r="B212" t="s">
        <v>363</v>
      </c>
      <c r="C212" t="s">
        <v>364</v>
      </c>
      <c r="D212" t="s">
        <v>365</v>
      </c>
      <c r="E212" t="s">
        <v>864</v>
      </c>
      <c r="F212" t="s">
        <v>865</v>
      </c>
      <c r="G212">
        <v>200968</v>
      </c>
      <c r="H212">
        <v>0</v>
      </c>
      <c r="I212">
        <v>1.6</v>
      </c>
      <c r="J212">
        <v>49</v>
      </c>
      <c r="K212">
        <v>3</v>
      </c>
      <c r="L212" t="s">
        <v>50</v>
      </c>
    </row>
    <row r="213" spans="1:12">
      <c r="A213" t="s">
        <v>866</v>
      </c>
      <c r="B213" t="s">
        <v>363</v>
      </c>
      <c r="C213" t="s">
        <v>375</v>
      </c>
      <c r="D213" t="s">
        <v>417</v>
      </c>
      <c r="E213" t="s">
        <v>867</v>
      </c>
      <c r="G213">
        <v>395725</v>
      </c>
      <c r="H213">
        <v>0</v>
      </c>
      <c r="I213">
        <v>4</v>
      </c>
      <c r="J213">
        <v>57</v>
      </c>
      <c r="K213">
        <v>1</v>
      </c>
      <c r="L213" t="s">
        <v>50</v>
      </c>
    </row>
    <row r="214" spans="1:12">
      <c r="A214" t="s">
        <v>868</v>
      </c>
      <c r="B214" t="s">
        <v>399</v>
      </c>
      <c r="C214" t="s">
        <v>382</v>
      </c>
      <c r="D214" t="s">
        <v>387</v>
      </c>
      <c r="E214" t="s">
        <v>869</v>
      </c>
      <c r="F214" t="s">
        <v>870</v>
      </c>
      <c r="G214">
        <v>70941</v>
      </c>
      <c r="H214">
        <v>0</v>
      </c>
      <c r="I214">
        <v>4.0999999999999996</v>
      </c>
      <c r="J214">
        <v>68</v>
      </c>
      <c r="K214">
        <v>1</v>
      </c>
      <c r="L214" t="s">
        <v>50</v>
      </c>
    </row>
    <row r="215" spans="1:12">
      <c r="A215" t="s">
        <v>871</v>
      </c>
      <c r="B215" t="s">
        <v>399</v>
      </c>
      <c r="C215" t="s">
        <v>364</v>
      </c>
      <c r="D215" t="s">
        <v>365</v>
      </c>
      <c r="E215" t="s">
        <v>872</v>
      </c>
      <c r="G215">
        <v>217028</v>
      </c>
      <c r="H215">
        <v>0</v>
      </c>
      <c r="I215">
        <v>4.0999999999999996</v>
      </c>
      <c r="J215">
        <v>80</v>
      </c>
      <c r="K215">
        <v>0</v>
      </c>
      <c r="L215" t="s">
        <v>50</v>
      </c>
    </row>
    <row r="216" spans="1:12">
      <c r="A216" t="s">
        <v>873</v>
      </c>
      <c r="B216" t="s">
        <v>363</v>
      </c>
      <c r="C216" t="s">
        <v>375</v>
      </c>
      <c r="D216" t="s">
        <v>417</v>
      </c>
      <c r="E216" t="s">
        <v>874</v>
      </c>
      <c r="G216">
        <v>215940</v>
      </c>
      <c r="H216">
        <v>0</v>
      </c>
      <c r="I216">
        <v>1.8</v>
      </c>
      <c r="J216">
        <v>52</v>
      </c>
      <c r="K216">
        <v>2</v>
      </c>
      <c r="L216" t="s">
        <v>50</v>
      </c>
    </row>
    <row r="217" spans="1:12">
      <c r="A217" t="s">
        <v>875</v>
      </c>
      <c r="B217" t="s">
        <v>363</v>
      </c>
      <c r="C217" t="s">
        <v>4</v>
      </c>
      <c r="D217" t="s">
        <v>369</v>
      </c>
      <c r="E217" t="s">
        <v>876</v>
      </c>
      <c r="G217">
        <v>222435</v>
      </c>
      <c r="H217">
        <v>148992</v>
      </c>
      <c r="I217">
        <v>4.7</v>
      </c>
      <c r="J217">
        <v>42</v>
      </c>
      <c r="K217">
        <v>2</v>
      </c>
      <c r="L217" t="s">
        <v>50</v>
      </c>
    </row>
    <row r="218" spans="1:12">
      <c r="A218" t="s">
        <v>877</v>
      </c>
      <c r="B218" t="s">
        <v>363</v>
      </c>
      <c r="C218" t="s">
        <v>364</v>
      </c>
      <c r="D218" t="s">
        <v>378</v>
      </c>
      <c r="E218" t="s">
        <v>878</v>
      </c>
      <c r="G218">
        <v>513513</v>
      </c>
      <c r="H218">
        <v>41644</v>
      </c>
      <c r="I218">
        <v>1.6</v>
      </c>
      <c r="J218">
        <v>47</v>
      </c>
      <c r="K218">
        <v>0</v>
      </c>
      <c r="L218" t="s">
        <v>50</v>
      </c>
    </row>
    <row r="219" spans="1:12">
      <c r="A219" t="s">
        <v>879</v>
      </c>
      <c r="B219" t="s">
        <v>399</v>
      </c>
      <c r="C219" t="s">
        <v>364</v>
      </c>
      <c r="D219" t="s">
        <v>437</v>
      </c>
      <c r="E219" t="s">
        <v>880</v>
      </c>
      <c r="G219">
        <v>296604</v>
      </c>
      <c r="H219">
        <v>0</v>
      </c>
      <c r="I219">
        <v>3.5</v>
      </c>
      <c r="J219">
        <v>44</v>
      </c>
      <c r="K219">
        <v>1</v>
      </c>
      <c r="L219" t="s">
        <v>50</v>
      </c>
    </row>
    <row r="220" spans="1:12">
      <c r="A220" t="s">
        <v>881</v>
      </c>
      <c r="B220" t="s">
        <v>399</v>
      </c>
      <c r="C220" t="s">
        <v>364</v>
      </c>
      <c r="D220" t="s">
        <v>437</v>
      </c>
      <c r="E220" t="s">
        <v>882</v>
      </c>
      <c r="G220">
        <v>321126</v>
      </c>
      <c r="H220">
        <v>0</v>
      </c>
      <c r="I220">
        <v>4.4000000000000004</v>
      </c>
      <c r="J220">
        <v>45</v>
      </c>
      <c r="K220">
        <v>1</v>
      </c>
      <c r="L220" t="s">
        <v>50</v>
      </c>
    </row>
    <row r="221" spans="1:12">
      <c r="A221" t="s">
        <v>883</v>
      </c>
      <c r="B221" t="s">
        <v>363</v>
      </c>
      <c r="C221" t="s">
        <v>364</v>
      </c>
      <c r="D221" t="s">
        <v>378</v>
      </c>
      <c r="E221" t="s">
        <v>884</v>
      </c>
      <c r="G221">
        <v>366135</v>
      </c>
      <c r="H221">
        <v>0</v>
      </c>
      <c r="I221">
        <v>1.4</v>
      </c>
      <c r="J221">
        <v>75</v>
      </c>
      <c r="K221">
        <v>0</v>
      </c>
      <c r="L221" t="s">
        <v>50</v>
      </c>
    </row>
    <row r="222" spans="1:12">
      <c r="A222" t="s">
        <v>885</v>
      </c>
      <c r="B222" t="s">
        <v>368</v>
      </c>
      <c r="C222" t="s">
        <v>364</v>
      </c>
      <c r="D222" t="s">
        <v>369</v>
      </c>
      <c r="E222" t="s">
        <v>886</v>
      </c>
      <c r="G222">
        <v>132498</v>
      </c>
      <c r="H222">
        <v>22300</v>
      </c>
      <c r="I222">
        <v>1.1000000000000001</v>
      </c>
      <c r="J222">
        <v>60</v>
      </c>
      <c r="K222">
        <v>1</v>
      </c>
      <c r="L222" t="s">
        <v>50</v>
      </c>
    </row>
    <row r="223" spans="1:12">
      <c r="A223" t="s">
        <v>887</v>
      </c>
      <c r="B223" t="s">
        <v>399</v>
      </c>
      <c r="C223" t="s">
        <v>4</v>
      </c>
      <c r="D223" t="s">
        <v>383</v>
      </c>
      <c r="E223" t="s">
        <v>888</v>
      </c>
      <c r="G223">
        <v>121176</v>
      </c>
      <c r="H223">
        <v>286827</v>
      </c>
      <c r="I223">
        <v>2.8</v>
      </c>
      <c r="J223">
        <v>47</v>
      </c>
      <c r="K223">
        <v>0</v>
      </c>
      <c r="L223" t="s">
        <v>50</v>
      </c>
    </row>
    <row r="224" spans="1:12">
      <c r="A224" t="s">
        <v>889</v>
      </c>
      <c r="B224" t="s">
        <v>374</v>
      </c>
      <c r="C224" t="s">
        <v>364</v>
      </c>
      <c r="D224" t="s">
        <v>378</v>
      </c>
      <c r="E224" t="s">
        <v>890</v>
      </c>
      <c r="G224">
        <v>310233</v>
      </c>
      <c r="H224">
        <v>32405</v>
      </c>
      <c r="I224">
        <v>3.8</v>
      </c>
      <c r="J224">
        <v>80</v>
      </c>
      <c r="K224">
        <v>3</v>
      </c>
      <c r="L224" t="s">
        <v>93</v>
      </c>
    </row>
    <row r="225" spans="1:12">
      <c r="A225" t="s">
        <v>891</v>
      </c>
      <c r="B225" t="s">
        <v>374</v>
      </c>
      <c r="C225" t="s">
        <v>4</v>
      </c>
      <c r="D225" t="s">
        <v>383</v>
      </c>
      <c r="E225" t="s">
        <v>892</v>
      </c>
      <c r="F225" t="s">
        <v>893</v>
      </c>
      <c r="G225">
        <v>106156</v>
      </c>
      <c r="H225">
        <v>255860</v>
      </c>
      <c r="I225">
        <v>1.1000000000000001</v>
      </c>
      <c r="J225">
        <v>95</v>
      </c>
      <c r="K225">
        <v>0</v>
      </c>
      <c r="L225" t="s">
        <v>50</v>
      </c>
    </row>
    <row r="226" spans="1:12">
      <c r="A226" t="s">
        <v>894</v>
      </c>
      <c r="B226" t="s">
        <v>374</v>
      </c>
      <c r="C226" t="s">
        <v>382</v>
      </c>
      <c r="D226" t="s">
        <v>365</v>
      </c>
      <c r="E226" t="s">
        <v>895</v>
      </c>
      <c r="G226">
        <v>318532</v>
      </c>
      <c r="H226">
        <v>12948</v>
      </c>
      <c r="I226">
        <v>1.4</v>
      </c>
      <c r="J226">
        <v>41</v>
      </c>
      <c r="K226">
        <v>0</v>
      </c>
      <c r="L226" t="s">
        <v>50</v>
      </c>
    </row>
    <row r="227" spans="1:12">
      <c r="A227" t="s">
        <v>896</v>
      </c>
      <c r="B227" t="s">
        <v>399</v>
      </c>
      <c r="C227" t="s">
        <v>382</v>
      </c>
      <c r="D227" t="s">
        <v>365</v>
      </c>
      <c r="E227" t="s">
        <v>897</v>
      </c>
      <c r="G227">
        <v>196268</v>
      </c>
      <c r="H227">
        <v>0</v>
      </c>
      <c r="I227">
        <v>2</v>
      </c>
      <c r="J227">
        <v>79</v>
      </c>
      <c r="K227">
        <v>0</v>
      </c>
      <c r="L227" t="s">
        <v>50</v>
      </c>
    </row>
    <row r="228" spans="1:12">
      <c r="A228" t="s">
        <v>898</v>
      </c>
      <c r="B228" t="s">
        <v>363</v>
      </c>
      <c r="C228" t="s">
        <v>364</v>
      </c>
      <c r="D228" t="s">
        <v>417</v>
      </c>
      <c r="E228" t="s">
        <v>899</v>
      </c>
      <c r="G228">
        <v>279940</v>
      </c>
      <c r="H228">
        <v>32239</v>
      </c>
      <c r="I228">
        <v>2.4</v>
      </c>
      <c r="J228">
        <v>71</v>
      </c>
      <c r="K228">
        <v>1</v>
      </c>
      <c r="L228" t="s">
        <v>50</v>
      </c>
    </row>
    <row r="229" spans="1:12">
      <c r="A229" t="s">
        <v>900</v>
      </c>
      <c r="B229" t="s">
        <v>374</v>
      </c>
      <c r="C229" t="s">
        <v>382</v>
      </c>
      <c r="D229" t="s">
        <v>365</v>
      </c>
      <c r="E229" t="s">
        <v>901</v>
      </c>
      <c r="G229">
        <v>284668</v>
      </c>
      <c r="H229">
        <v>0</v>
      </c>
      <c r="I229">
        <v>4.5999999999999996</v>
      </c>
      <c r="J229">
        <v>81</v>
      </c>
      <c r="K229">
        <v>0</v>
      </c>
      <c r="L229" t="s">
        <v>50</v>
      </c>
    </row>
    <row r="230" spans="1:12">
      <c r="A230" t="s">
        <v>902</v>
      </c>
      <c r="B230" t="s">
        <v>363</v>
      </c>
      <c r="C230" t="s">
        <v>382</v>
      </c>
      <c r="D230" t="s">
        <v>369</v>
      </c>
      <c r="E230" t="s">
        <v>903</v>
      </c>
      <c r="G230">
        <v>145893</v>
      </c>
      <c r="H230">
        <v>0</v>
      </c>
      <c r="I230">
        <v>3.1</v>
      </c>
      <c r="J230">
        <v>43</v>
      </c>
      <c r="K230">
        <v>3</v>
      </c>
      <c r="L230" t="s">
        <v>50</v>
      </c>
    </row>
    <row r="231" spans="1:12">
      <c r="A231" t="s">
        <v>904</v>
      </c>
      <c r="B231" t="s">
        <v>399</v>
      </c>
      <c r="C231" t="s">
        <v>4</v>
      </c>
      <c r="D231" t="s">
        <v>365</v>
      </c>
      <c r="E231" t="s">
        <v>905</v>
      </c>
      <c r="G231">
        <v>311760</v>
      </c>
      <c r="H231">
        <v>1995896</v>
      </c>
      <c r="I231">
        <v>2.5</v>
      </c>
      <c r="J231">
        <v>86</v>
      </c>
      <c r="K231">
        <v>3</v>
      </c>
      <c r="L231" t="s">
        <v>50</v>
      </c>
    </row>
    <row r="232" spans="1:12">
      <c r="A232" t="s">
        <v>906</v>
      </c>
      <c r="B232" t="s">
        <v>368</v>
      </c>
      <c r="C232" t="s">
        <v>375</v>
      </c>
      <c r="D232" t="s">
        <v>369</v>
      </c>
      <c r="E232" t="s">
        <v>907</v>
      </c>
      <c r="F232" t="s">
        <v>908</v>
      </c>
      <c r="G232">
        <v>169050</v>
      </c>
      <c r="H232">
        <v>0</v>
      </c>
      <c r="I232">
        <v>4.8</v>
      </c>
      <c r="J232">
        <v>91</v>
      </c>
      <c r="K232">
        <v>0</v>
      </c>
      <c r="L232" t="s">
        <v>50</v>
      </c>
    </row>
    <row r="233" spans="1:12">
      <c r="A233" t="s">
        <v>909</v>
      </c>
      <c r="B233" t="s">
        <v>368</v>
      </c>
      <c r="C233" t="s">
        <v>375</v>
      </c>
      <c r="D233" t="s">
        <v>369</v>
      </c>
      <c r="E233" t="s">
        <v>910</v>
      </c>
      <c r="G233">
        <v>228831</v>
      </c>
      <c r="H233">
        <v>0</v>
      </c>
      <c r="I233">
        <v>3.4</v>
      </c>
      <c r="J233">
        <v>99</v>
      </c>
      <c r="K233">
        <v>0</v>
      </c>
      <c r="L233" t="s">
        <v>93</v>
      </c>
    </row>
    <row r="234" spans="1:12">
      <c r="A234" t="s">
        <v>911</v>
      </c>
      <c r="B234" t="s">
        <v>399</v>
      </c>
      <c r="C234" t="s">
        <v>4</v>
      </c>
      <c r="D234" t="s">
        <v>369</v>
      </c>
      <c r="E234" t="s">
        <v>912</v>
      </c>
      <c r="F234" t="s">
        <v>913</v>
      </c>
      <c r="G234">
        <v>227286</v>
      </c>
      <c r="H234">
        <v>2390032</v>
      </c>
      <c r="I234">
        <v>3.8</v>
      </c>
      <c r="J234">
        <v>50</v>
      </c>
      <c r="K234">
        <v>0</v>
      </c>
      <c r="L234" t="s">
        <v>50</v>
      </c>
    </row>
    <row r="235" spans="1:12">
      <c r="A235" t="s">
        <v>914</v>
      </c>
      <c r="B235" t="s">
        <v>368</v>
      </c>
      <c r="C235" t="s">
        <v>364</v>
      </c>
      <c r="D235" t="s">
        <v>437</v>
      </c>
      <c r="E235" t="s">
        <v>915</v>
      </c>
      <c r="G235">
        <v>329934</v>
      </c>
      <c r="H235">
        <v>0</v>
      </c>
      <c r="I235">
        <v>4.0999999999999996</v>
      </c>
      <c r="J235">
        <v>51</v>
      </c>
      <c r="K235">
        <v>1</v>
      </c>
      <c r="L235" t="s">
        <v>50</v>
      </c>
    </row>
    <row r="236" spans="1:12">
      <c r="A236" t="s">
        <v>916</v>
      </c>
      <c r="B236" t="s">
        <v>368</v>
      </c>
      <c r="C236" t="s">
        <v>382</v>
      </c>
      <c r="D236" t="s">
        <v>365</v>
      </c>
      <c r="E236" t="s">
        <v>917</v>
      </c>
      <c r="G236">
        <v>252084</v>
      </c>
      <c r="H236">
        <v>0</v>
      </c>
      <c r="I236">
        <v>2.6</v>
      </c>
      <c r="J236">
        <v>82</v>
      </c>
      <c r="K236">
        <v>0</v>
      </c>
      <c r="L236" t="s">
        <v>50</v>
      </c>
    </row>
    <row r="237" spans="1:12">
      <c r="A237" t="s">
        <v>918</v>
      </c>
      <c r="B237" t="s">
        <v>368</v>
      </c>
      <c r="C237" t="s">
        <v>375</v>
      </c>
      <c r="D237" t="s">
        <v>387</v>
      </c>
      <c r="E237" t="s">
        <v>897</v>
      </c>
      <c r="G237">
        <v>56900</v>
      </c>
      <c r="H237">
        <v>34282</v>
      </c>
      <c r="I237">
        <v>2.2999999999999998</v>
      </c>
      <c r="J237">
        <v>71</v>
      </c>
      <c r="K237">
        <v>0</v>
      </c>
      <c r="L237" t="s">
        <v>93</v>
      </c>
    </row>
    <row r="238" spans="1:12">
      <c r="A238" t="s">
        <v>919</v>
      </c>
      <c r="B238" t="s">
        <v>368</v>
      </c>
      <c r="C238" t="s">
        <v>364</v>
      </c>
      <c r="D238" t="s">
        <v>383</v>
      </c>
      <c r="E238" t="s">
        <v>920</v>
      </c>
      <c r="G238">
        <v>138664</v>
      </c>
      <c r="H238">
        <v>15624</v>
      </c>
      <c r="I238">
        <v>4.3</v>
      </c>
      <c r="J238">
        <v>89</v>
      </c>
      <c r="K238">
        <v>1</v>
      </c>
      <c r="L238" t="s">
        <v>50</v>
      </c>
    </row>
    <row r="239" spans="1:12">
      <c r="A239" t="s">
        <v>921</v>
      </c>
      <c r="B239" t="s">
        <v>399</v>
      </c>
      <c r="C239" t="s">
        <v>4</v>
      </c>
      <c r="D239" t="s">
        <v>417</v>
      </c>
      <c r="E239" t="s">
        <v>922</v>
      </c>
      <c r="G239">
        <v>232375</v>
      </c>
      <c r="H239">
        <v>1846668</v>
      </c>
      <c r="I239">
        <v>1.3</v>
      </c>
      <c r="J239">
        <v>71</v>
      </c>
      <c r="K239">
        <v>0</v>
      </c>
      <c r="L239" t="s">
        <v>93</v>
      </c>
    </row>
    <row r="240" spans="1:12">
      <c r="A240" t="s">
        <v>923</v>
      </c>
      <c r="B240" t="s">
        <v>363</v>
      </c>
      <c r="C240" t="s">
        <v>364</v>
      </c>
      <c r="D240" t="s">
        <v>437</v>
      </c>
      <c r="E240" t="s">
        <v>924</v>
      </c>
      <c r="G240">
        <v>452586</v>
      </c>
      <c r="H240">
        <v>30018</v>
      </c>
      <c r="I240">
        <v>3.1</v>
      </c>
      <c r="J240">
        <v>50</v>
      </c>
      <c r="K240">
        <v>1</v>
      </c>
      <c r="L240" t="s">
        <v>50</v>
      </c>
    </row>
    <row r="241" spans="1:12">
      <c r="A241" t="s">
        <v>925</v>
      </c>
      <c r="B241" t="s">
        <v>368</v>
      </c>
      <c r="C241" t="s">
        <v>4</v>
      </c>
      <c r="D241" t="s">
        <v>365</v>
      </c>
      <c r="E241" t="s">
        <v>926</v>
      </c>
      <c r="G241">
        <v>230368</v>
      </c>
      <c r="H241">
        <v>744649</v>
      </c>
      <c r="I241">
        <v>3.9</v>
      </c>
      <c r="J241">
        <v>84</v>
      </c>
      <c r="K241">
        <v>1</v>
      </c>
      <c r="L241" t="s">
        <v>50</v>
      </c>
    </row>
    <row r="242" spans="1:12">
      <c r="A242" t="s">
        <v>927</v>
      </c>
      <c r="B242" t="s">
        <v>399</v>
      </c>
      <c r="C242" t="s">
        <v>4</v>
      </c>
      <c r="D242" t="s">
        <v>417</v>
      </c>
      <c r="E242" t="s">
        <v>928</v>
      </c>
      <c r="F242" t="s">
        <v>929</v>
      </c>
      <c r="G242">
        <v>288790</v>
      </c>
      <c r="H242">
        <v>1648104</v>
      </c>
      <c r="I242">
        <v>1.2</v>
      </c>
      <c r="J242">
        <v>42</v>
      </c>
      <c r="K242">
        <v>0</v>
      </c>
      <c r="L242" t="s">
        <v>50</v>
      </c>
    </row>
    <row r="243" spans="1:12">
      <c r="A243" t="s">
        <v>930</v>
      </c>
      <c r="B243" t="s">
        <v>363</v>
      </c>
      <c r="C243" t="s">
        <v>364</v>
      </c>
      <c r="D243" t="s">
        <v>369</v>
      </c>
      <c r="E243" t="s">
        <v>931</v>
      </c>
      <c r="G243">
        <v>139623</v>
      </c>
      <c r="H243">
        <v>0</v>
      </c>
      <c r="I243">
        <v>4.2</v>
      </c>
      <c r="J243">
        <v>44</v>
      </c>
      <c r="K243">
        <v>2</v>
      </c>
      <c r="L243" t="s">
        <v>93</v>
      </c>
    </row>
    <row r="244" spans="1:12">
      <c r="A244" t="s">
        <v>932</v>
      </c>
      <c r="B244" t="s">
        <v>363</v>
      </c>
      <c r="C244" t="s">
        <v>364</v>
      </c>
      <c r="D244" t="s">
        <v>369</v>
      </c>
      <c r="E244" t="s">
        <v>933</v>
      </c>
      <c r="G244">
        <v>225087</v>
      </c>
      <c r="H244">
        <v>0</v>
      </c>
      <c r="I244">
        <v>4.8</v>
      </c>
      <c r="J244">
        <v>61</v>
      </c>
      <c r="K244">
        <v>1</v>
      </c>
      <c r="L244" t="s">
        <v>93</v>
      </c>
    </row>
    <row r="245" spans="1:12">
      <c r="A245" t="s">
        <v>934</v>
      </c>
      <c r="B245" t="s">
        <v>368</v>
      </c>
      <c r="C245" t="s">
        <v>4</v>
      </c>
      <c r="D245" t="s">
        <v>387</v>
      </c>
      <c r="E245" t="s">
        <v>935</v>
      </c>
      <c r="G245">
        <v>76503</v>
      </c>
      <c r="H245">
        <v>2360310</v>
      </c>
      <c r="I245">
        <v>4.4000000000000004</v>
      </c>
      <c r="J245">
        <v>58</v>
      </c>
      <c r="K245">
        <v>0</v>
      </c>
      <c r="L245" t="s">
        <v>50</v>
      </c>
    </row>
    <row r="246" spans="1:12">
      <c r="A246" t="s">
        <v>936</v>
      </c>
      <c r="B246" t="s">
        <v>368</v>
      </c>
      <c r="C246" t="s">
        <v>375</v>
      </c>
      <c r="D246" t="s">
        <v>387</v>
      </c>
      <c r="E246" t="s">
        <v>937</v>
      </c>
      <c r="G246">
        <v>52974</v>
      </c>
      <c r="H246">
        <v>0</v>
      </c>
      <c r="I246">
        <v>1.5</v>
      </c>
      <c r="J246">
        <v>88</v>
      </c>
      <c r="K246">
        <v>2</v>
      </c>
      <c r="L246" t="s">
        <v>50</v>
      </c>
    </row>
    <row r="247" spans="1:12">
      <c r="A247" t="s">
        <v>938</v>
      </c>
      <c r="B247" t="s">
        <v>363</v>
      </c>
      <c r="C247" t="s">
        <v>4</v>
      </c>
      <c r="D247" t="s">
        <v>369</v>
      </c>
      <c r="E247" t="s">
        <v>939</v>
      </c>
      <c r="F247" t="s">
        <v>940</v>
      </c>
      <c r="G247">
        <v>163929</v>
      </c>
      <c r="H247">
        <v>2133005</v>
      </c>
      <c r="I247">
        <v>1.9</v>
      </c>
      <c r="J247">
        <v>76</v>
      </c>
      <c r="K247">
        <v>0</v>
      </c>
      <c r="L247" t="s">
        <v>50</v>
      </c>
    </row>
    <row r="248" spans="1:12">
      <c r="A248" t="s">
        <v>941</v>
      </c>
      <c r="B248" t="s">
        <v>363</v>
      </c>
      <c r="C248" t="s">
        <v>364</v>
      </c>
      <c r="D248" t="s">
        <v>383</v>
      </c>
      <c r="E248" t="s">
        <v>942</v>
      </c>
      <c r="G248">
        <v>92982</v>
      </c>
      <c r="H248">
        <v>0</v>
      </c>
      <c r="I248">
        <v>3.8</v>
      </c>
      <c r="J248">
        <v>70</v>
      </c>
      <c r="K248">
        <v>0</v>
      </c>
      <c r="L248" t="s">
        <v>50</v>
      </c>
    </row>
    <row r="249" spans="1:12">
      <c r="A249" t="s">
        <v>943</v>
      </c>
      <c r="B249" t="s">
        <v>368</v>
      </c>
      <c r="C249" t="s">
        <v>375</v>
      </c>
      <c r="D249" t="s">
        <v>369</v>
      </c>
      <c r="E249" t="s">
        <v>944</v>
      </c>
      <c r="G249">
        <v>217572</v>
      </c>
      <c r="H249">
        <v>0</v>
      </c>
      <c r="I249">
        <v>2.6</v>
      </c>
      <c r="J249">
        <v>100</v>
      </c>
      <c r="K249">
        <v>0</v>
      </c>
      <c r="L249" t="s">
        <v>50</v>
      </c>
    </row>
    <row r="250" spans="1:12">
      <c r="A250" t="s">
        <v>945</v>
      </c>
      <c r="B250" t="s">
        <v>363</v>
      </c>
      <c r="C250" t="s">
        <v>382</v>
      </c>
      <c r="D250" t="s">
        <v>387</v>
      </c>
      <c r="E250" t="s">
        <v>705</v>
      </c>
      <c r="G250">
        <v>72406</v>
      </c>
      <c r="H250">
        <v>0</v>
      </c>
      <c r="I250">
        <v>3.1</v>
      </c>
      <c r="J250">
        <v>41</v>
      </c>
      <c r="K250">
        <v>0</v>
      </c>
      <c r="L250" t="s">
        <v>50</v>
      </c>
    </row>
    <row r="251" spans="1:12">
      <c r="A251" t="s">
        <v>946</v>
      </c>
      <c r="B251" t="s">
        <v>368</v>
      </c>
      <c r="C251" t="s">
        <v>375</v>
      </c>
      <c r="D251" t="s">
        <v>387</v>
      </c>
      <c r="E251" t="s">
        <v>947</v>
      </c>
      <c r="F251" t="s">
        <v>948</v>
      </c>
      <c r="G251">
        <v>54223</v>
      </c>
      <c r="H251">
        <v>30754</v>
      </c>
      <c r="I251">
        <v>1.5</v>
      </c>
      <c r="J251">
        <v>91</v>
      </c>
      <c r="K251">
        <v>1</v>
      </c>
      <c r="L251" t="s">
        <v>50</v>
      </c>
    </row>
    <row r="252" spans="1:12">
      <c r="A252" t="s">
        <v>949</v>
      </c>
      <c r="B252" t="s">
        <v>363</v>
      </c>
      <c r="C252" t="s">
        <v>4</v>
      </c>
      <c r="D252" t="s">
        <v>437</v>
      </c>
      <c r="E252" t="s">
        <v>950</v>
      </c>
      <c r="G252">
        <v>287124</v>
      </c>
      <c r="H252">
        <v>1280257</v>
      </c>
      <c r="I252">
        <v>1.7</v>
      </c>
      <c r="J252">
        <v>64</v>
      </c>
      <c r="K252">
        <v>3</v>
      </c>
      <c r="L252" t="s">
        <v>50</v>
      </c>
    </row>
    <row r="253" spans="1:12">
      <c r="A253" t="s">
        <v>951</v>
      </c>
      <c r="B253" t="s">
        <v>368</v>
      </c>
      <c r="C253" t="s">
        <v>4</v>
      </c>
      <c r="D253" t="s">
        <v>387</v>
      </c>
      <c r="E253" t="s">
        <v>952</v>
      </c>
      <c r="F253" t="s">
        <v>953</v>
      </c>
      <c r="G253">
        <v>56793</v>
      </c>
      <c r="H253">
        <v>2169288</v>
      </c>
      <c r="I253">
        <v>1.1000000000000001</v>
      </c>
      <c r="J253">
        <v>70</v>
      </c>
      <c r="K253">
        <v>1</v>
      </c>
      <c r="L253" t="s">
        <v>50</v>
      </c>
    </row>
    <row r="254" spans="1:12">
      <c r="A254" t="s">
        <v>954</v>
      </c>
      <c r="B254" t="s">
        <v>368</v>
      </c>
      <c r="C254" t="s">
        <v>4</v>
      </c>
      <c r="D254" t="s">
        <v>383</v>
      </c>
      <c r="E254" t="s">
        <v>955</v>
      </c>
      <c r="G254">
        <v>118856</v>
      </c>
      <c r="H254">
        <v>1604183</v>
      </c>
      <c r="I254">
        <v>3.8</v>
      </c>
      <c r="J254">
        <v>66</v>
      </c>
      <c r="K254">
        <v>1</v>
      </c>
      <c r="L254" t="s">
        <v>50</v>
      </c>
    </row>
    <row r="255" spans="1:12">
      <c r="A255" t="s">
        <v>956</v>
      </c>
      <c r="B255" t="s">
        <v>374</v>
      </c>
      <c r="C255" t="s">
        <v>375</v>
      </c>
      <c r="D255" t="s">
        <v>378</v>
      </c>
      <c r="E255" t="s">
        <v>957</v>
      </c>
      <c r="G255">
        <v>438872</v>
      </c>
      <c r="H255">
        <v>0</v>
      </c>
      <c r="I255">
        <v>2.7</v>
      </c>
      <c r="J255">
        <v>83</v>
      </c>
      <c r="K255">
        <v>1</v>
      </c>
      <c r="L255" t="s">
        <v>50</v>
      </c>
    </row>
    <row r="256" spans="1:12">
      <c r="A256" t="s">
        <v>958</v>
      </c>
      <c r="B256" t="s">
        <v>399</v>
      </c>
      <c r="C256" t="s">
        <v>4</v>
      </c>
      <c r="D256" t="s">
        <v>387</v>
      </c>
      <c r="E256" t="s">
        <v>716</v>
      </c>
      <c r="G256">
        <v>57267</v>
      </c>
      <c r="H256">
        <v>1087496</v>
      </c>
      <c r="I256">
        <v>3.2</v>
      </c>
      <c r="J256">
        <v>76</v>
      </c>
      <c r="K256">
        <v>1</v>
      </c>
      <c r="L256" t="s">
        <v>50</v>
      </c>
    </row>
    <row r="257" spans="1:12">
      <c r="A257" t="s">
        <v>959</v>
      </c>
      <c r="B257" t="s">
        <v>374</v>
      </c>
      <c r="C257" t="s">
        <v>364</v>
      </c>
      <c r="D257" t="s">
        <v>383</v>
      </c>
      <c r="E257" t="s">
        <v>960</v>
      </c>
      <c r="G257">
        <v>88096</v>
      </c>
      <c r="H257">
        <v>14048</v>
      </c>
      <c r="I257">
        <v>2.1</v>
      </c>
      <c r="J257">
        <v>99</v>
      </c>
      <c r="K257">
        <v>0</v>
      </c>
      <c r="L257" t="s">
        <v>50</v>
      </c>
    </row>
    <row r="258" spans="1:12">
      <c r="A258" t="s">
        <v>961</v>
      </c>
      <c r="B258" t="s">
        <v>374</v>
      </c>
      <c r="C258" t="s">
        <v>382</v>
      </c>
      <c r="D258" t="s">
        <v>365</v>
      </c>
      <c r="E258" t="s">
        <v>962</v>
      </c>
      <c r="G258">
        <v>220132</v>
      </c>
      <c r="H258">
        <v>0</v>
      </c>
      <c r="I258">
        <v>1.1000000000000001</v>
      </c>
      <c r="J258">
        <v>67</v>
      </c>
      <c r="K258">
        <v>0</v>
      </c>
      <c r="L258" t="s">
        <v>50</v>
      </c>
    </row>
    <row r="259" spans="1:12">
      <c r="A259" t="s">
        <v>963</v>
      </c>
      <c r="B259" t="s">
        <v>374</v>
      </c>
      <c r="C259" t="s">
        <v>375</v>
      </c>
      <c r="D259" t="s">
        <v>437</v>
      </c>
      <c r="E259" t="s">
        <v>964</v>
      </c>
      <c r="F259" t="s">
        <v>965</v>
      </c>
      <c r="G259">
        <v>418212</v>
      </c>
      <c r="H259">
        <v>0</v>
      </c>
      <c r="I259">
        <v>1.2</v>
      </c>
      <c r="J259">
        <v>74</v>
      </c>
      <c r="K259">
        <v>0</v>
      </c>
      <c r="L259" t="s">
        <v>93</v>
      </c>
    </row>
    <row r="260" spans="1:12">
      <c r="A260" t="s">
        <v>966</v>
      </c>
      <c r="B260" t="s">
        <v>374</v>
      </c>
      <c r="C260" t="s">
        <v>382</v>
      </c>
      <c r="D260" t="s">
        <v>369</v>
      </c>
      <c r="E260" t="s">
        <v>967</v>
      </c>
      <c r="G260">
        <v>151713</v>
      </c>
      <c r="H260">
        <v>0</v>
      </c>
      <c r="I260">
        <v>3.6</v>
      </c>
      <c r="J260">
        <v>65</v>
      </c>
      <c r="K260">
        <v>0</v>
      </c>
      <c r="L260" t="s">
        <v>50</v>
      </c>
    </row>
    <row r="261" spans="1:12">
      <c r="A261" t="s">
        <v>968</v>
      </c>
      <c r="B261" t="s">
        <v>368</v>
      </c>
      <c r="C261" t="s">
        <v>364</v>
      </c>
      <c r="D261" t="s">
        <v>437</v>
      </c>
      <c r="E261" t="s">
        <v>969</v>
      </c>
      <c r="F261" t="s">
        <v>970</v>
      </c>
      <c r="G261">
        <v>330372</v>
      </c>
      <c r="H261">
        <v>0</v>
      </c>
      <c r="I261">
        <v>4</v>
      </c>
      <c r="J261">
        <v>54</v>
      </c>
      <c r="K261">
        <v>2</v>
      </c>
      <c r="L261" t="s">
        <v>50</v>
      </c>
    </row>
    <row r="262" spans="1:12">
      <c r="A262" t="s">
        <v>971</v>
      </c>
      <c r="B262" t="s">
        <v>399</v>
      </c>
      <c r="C262" t="s">
        <v>364</v>
      </c>
      <c r="D262" t="s">
        <v>365</v>
      </c>
      <c r="E262" t="s">
        <v>972</v>
      </c>
      <c r="G262">
        <v>231708</v>
      </c>
      <c r="H262">
        <v>0</v>
      </c>
      <c r="I262">
        <v>4.4000000000000004</v>
      </c>
      <c r="J262">
        <v>74</v>
      </c>
      <c r="K262">
        <v>0</v>
      </c>
      <c r="L262" t="s">
        <v>93</v>
      </c>
    </row>
    <row r="263" spans="1:12">
      <c r="A263" t="s">
        <v>973</v>
      </c>
      <c r="B263" t="s">
        <v>363</v>
      </c>
      <c r="C263" t="s">
        <v>375</v>
      </c>
      <c r="D263" t="s">
        <v>387</v>
      </c>
      <c r="E263" t="s">
        <v>974</v>
      </c>
      <c r="G263">
        <v>57743</v>
      </c>
      <c r="H263">
        <v>0</v>
      </c>
      <c r="I263">
        <v>4.5</v>
      </c>
      <c r="J263">
        <v>64</v>
      </c>
      <c r="K263">
        <v>0</v>
      </c>
      <c r="L263" t="s">
        <v>93</v>
      </c>
    </row>
    <row r="264" spans="1:12">
      <c r="A264" t="s">
        <v>975</v>
      </c>
      <c r="B264" t="s">
        <v>399</v>
      </c>
      <c r="C264" t="s">
        <v>4</v>
      </c>
      <c r="D264" t="s">
        <v>369</v>
      </c>
      <c r="E264" t="s">
        <v>976</v>
      </c>
      <c r="G264">
        <v>215616</v>
      </c>
      <c r="H264">
        <v>1118754</v>
      </c>
      <c r="I264">
        <v>2.8</v>
      </c>
      <c r="J264">
        <v>81</v>
      </c>
      <c r="K264">
        <v>0</v>
      </c>
      <c r="L264" t="s">
        <v>50</v>
      </c>
    </row>
    <row r="265" spans="1:12">
      <c r="A265" t="s">
        <v>977</v>
      </c>
      <c r="B265" t="s">
        <v>368</v>
      </c>
      <c r="C265" t="s">
        <v>4</v>
      </c>
      <c r="D265" t="s">
        <v>387</v>
      </c>
      <c r="E265" t="s">
        <v>978</v>
      </c>
      <c r="G265">
        <v>64425</v>
      </c>
      <c r="H265">
        <v>213154</v>
      </c>
      <c r="I265">
        <v>1.3</v>
      </c>
      <c r="J265">
        <v>96</v>
      </c>
      <c r="K265">
        <v>0</v>
      </c>
      <c r="L265" t="s">
        <v>50</v>
      </c>
    </row>
    <row r="266" spans="1:12">
      <c r="A266" t="s">
        <v>979</v>
      </c>
      <c r="B266" t="s">
        <v>368</v>
      </c>
      <c r="C266" t="s">
        <v>364</v>
      </c>
      <c r="D266" t="s">
        <v>383</v>
      </c>
      <c r="E266" t="s">
        <v>980</v>
      </c>
      <c r="G266">
        <v>93434</v>
      </c>
      <c r="H266">
        <v>0</v>
      </c>
      <c r="I266">
        <v>3.7</v>
      </c>
      <c r="J266">
        <v>93</v>
      </c>
      <c r="K266">
        <v>3</v>
      </c>
      <c r="L266" t="s">
        <v>50</v>
      </c>
    </row>
    <row r="267" spans="1:12">
      <c r="A267" t="s">
        <v>981</v>
      </c>
      <c r="B267" t="s">
        <v>368</v>
      </c>
      <c r="C267" t="s">
        <v>375</v>
      </c>
      <c r="D267" t="s">
        <v>417</v>
      </c>
      <c r="E267" t="s">
        <v>982</v>
      </c>
      <c r="G267">
        <v>268475</v>
      </c>
      <c r="H267">
        <v>0</v>
      </c>
      <c r="I267">
        <v>3.9</v>
      </c>
      <c r="J267">
        <v>71</v>
      </c>
      <c r="K267">
        <v>1</v>
      </c>
      <c r="L267" t="s">
        <v>50</v>
      </c>
    </row>
    <row r="268" spans="1:12">
      <c r="A268" t="s">
        <v>983</v>
      </c>
      <c r="B268" t="s">
        <v>368</v>
      </c>
      <c r="C268" t="s">
        <v>4</v>
      </c>
      <c r="D268" t="s">
        <v>387</v>
      </c>
      <c r="E268" t="s">
        <v>453</v>
      </c>
      <c r="G268">
        <v>77871</v>
      </c>
      <c r="H268">
        <v>2429966</v>
      </c>
      <c r="I268">
        <v>3.3</v>
      </c>
      <c r="J268">
        <v>68</v>
      </c>
      <c r="K268">
        <v>0</v>
      </c>
      <c r="L268" t="s">
        <v>50</v>
      </c>
    </row>
    <row r="269" spans="1:12">
      <c r="A269" t="s">
        <v>984</v>
      </c>
      <c r="B269" t="s">
        <v>363</v>
      </c>
      <c r="C269" t="s">
        <v>382</v>
      </c>
      <c r="D269" t="s">
        <v>437</v>
      </c>
      <c r="E269" t="s">
        <v>985</v>
      </c>
      <c r="G269">
        <v>296910</v>
      </c>
      <c r="H269">
        <v>0</v>
      </c>
      <c r="I269">
        <v>4</v>
      </c>
      <c r="J269">
        <v>61</v>
      </c>
      <c r="K269">
        <v>0</v>
      </c>
      <c r="L269" t="s">
        <v>50</v>
      </c>
    </row>
    <row r="270" spans="1:12">
      <c r="A270" t="s">
        <v>986</v>
      </c>
      <c r="B270" t="s">
        <v>399</v>
      </c>
      <c r="C270" t="s">
        <v>364</v>
      </c>
      <c r="D270" t="s">
        <v>365</v>
      </c>
      <c r="E270" t="s">
        <v>987</v>
      </c>
      <c r="G270">
        <v>297336</v>
      </c>
      <c r="H270">
        <v>20104</v>
      </c>
      <c r="I270">
        <v>2.2000000000000002</v>
      </c>
      <c r="J270">
        <v>61</v>
      </c>
      <c r="K270">
        <v>0</v>
      </c>
      <c r="L270" t="s">
        <v>50</v>
      </c>
    </row>
    <row r="271" spans="1:12">
      <c r="A271" t="s">
        <v>988</v>
      </c>
      <c r="B271" t="s">
        <v>368</v>
      </c>
      <c r="C271" t="s">
        <v>364</v>
      </c>
      <c r="D271" t="s">
        <v>365</v>
      </c>
      <c r="E271" t="s">
        <v>989</v>
      </c>
      <c r="G271">
        <v>200472</v>
      </c>
      <c r="H271">
        <v>0</v>
      </c>
      <c r="I271">
        <v>4.5999999999999996</v>
      </c>
      <c r="J271">
        <v>42</v>
      </c>
      <c r="K271">
        <v>2</v>
      </c>
      <c r="L271" t="s">
        <v>50</v>
      </c>
    </row>
    <row r="272" spans="1:12">
      <c r="A272" t="s">
        <v>990</v>
      </c>
      <c r="B272" t="s">
        <v>363</v>
      </c>
      <c r="C272" t="s">
        <v>382</v>
      </c>
      <c r="D272" t="s">
        <v>417</v>
      </c>
      <c r="E272" t="s">
        <v>991</v>
      </c>
      <c r="G272">
        <v>266060</v>
      </c>
      <c r="H272">
        <v>0</v>
      </c>
      <c r="I272">
        <v>1.7</v>
      </c>
      <c r="J272">
        <v>99</v>
      </c>
      <c r="K272">
        <v>0</v>
      </c>
      <c r="L272" t="s">
        <v>50</v>
      </c>
    </row>
    <row r="273" spans="1:12">
      <c r="A273" t="s">
        <v>992</v>
      </c>
      <c r="B273" t="s">
        <v>374</v>
      </c>
      <c r="C273" t="s">
        <v>4</v>
      </c>
      <c r="D273" t="s">
        <v>387</v>
      </c>
      <c r="E273" t="s">
        <v>993</v>
      </c>
      <c r="G273">
        <v>63882</v>
      </c>
      <c r="H273">
        <v>1131546</v>
      </c>
      <c r="I273">
        <v>3.7</v>
      </c>
      <c r="J273">
        <v>93</v>
      </c>
      <c r="K273">
        <v>3</v>
      </c>
      <c r="L273" t="s">
        <v>50</v>
      </c>
    </row>
    <row r="274" spans="1:12">
      <c r="A274" t="s">
        <v>994</v>
      </c>
      <c r="B274" t="s">
        <v>374</v>
      </c>
      <c r="C274" t="s">
        <v>4</v>
      </c>
      <c r="D274" t="s">
        <v>369</v>
      </c>
      <c r="E274" t="s">
        <v>995</v>
      </c>
      <c r="G274">
        <v>208764</v>
      </c>
      <c r="H274">
        <v>1038504</v>
      </c>
      <c r="I274">
        <v>4.5</v>
      </c>
      <c r="J274">
        <v>89</v>
      </c>
      <c r="K274">
        <v>1</v>
      </c>
      <c r="L274" t="s">
        <v>50</v>
      </c>
    </row>
    <row r="275" spans="1:12">
      <c r="A275" t="s">
        <v>996</v>
      </c>
      <c r="B275" t="s">
        <v>363</v>
      </c>
      <c r="C275" t="s">
        <v>4</v>
      </c>
      <c r="D275" t="s">
        <v>378</v>
      </c>
      <c r="E275" t="s">
        <v>997</v>
      </c>
      <c r="G275">
        <v>550718</v>
      </c>
      <c r="H275">
        <v>2348143</v>
      </c>
      <c r="I275">
        <v>4.0999999999999996</v>
      </c>
      <c r="J275">
        <v>90</v>
      </c>
      <c r="K275">
        <v>0</v>
      </c>
      <c r="L275" t="s">
        <v>50</v>
      </c>
    </row>
    <row r="276" spans="1:12">
      <c r="A276" t="s">
        <v>998</v>
      </c>
      <c r="B276" t="s">
        <v>374</v>
      </c>
      <c r="C276" t="s">
        <v>375</v>
      </c>
      <c r="D276" t="s">
        <v>369</v>
      </c>
      <c r="E276" t="s">
        <v>999</v>
      </c>
      <c r="G276">
        <v>221283</v>
      </c>
      <c r="H276">
        <v>0</v>
      </c>
      <c r="I276">
        <v>2.9</v>
      </c>
      <c r="J276">
        <v>47</v>
      </c>
      <c r="K276">
        <v>0</v>
      </c>
      <c r="L276" t="s">
        <v>50</v>
      </c>
    </row>
    <row r="277" spans="1:12">
      <c r="A277" t="s">
        <v>1000</v>
      </c>
      <c r="B277" t="s">
        <v>374</v>
      </c>
      <c r="C277" t="s">
        <v>375</v>
      </c>
      <c r="D277" t="s">
        <v>378</v>
      </c>
      <c r="E277" t="s">
        <v>1001</v>
      </c>
      <c r="G277">
        <v>388290</v>
      </c>
      <c r="H277">
        <v>0</v>
      </c>
      <c r="I277">
        <v>4.8</v>
      </c>
      <c r="J277">
        <v>93</v>
      </c>
      <c r="K277">
        <v>2</v>
      </c>
      <c r="L277" t="s">
        <v>50</v>
      </c>
    </row>
    <row r="278" spans="1:12">
      <c r="A278" t="s">
        <v>1002</v>
      </c>
      <c r="B278" t="s">
        <v>368</v>
      </c>
      <c r="C278" t="s">
        <v>382</v>
      </c>
      <c r="D278" t="s">
        <v>387</v>
      </c>
      <c r="E278" t="s">
        <v>1003</v>
      </c>
      <c r="G278">
        <v>69419</v>
      </c>
      <c r="H278">
        <v>28650</v>
      </c>
      <c r="I278">
        <v>4.0999999999999996</v>
      </c>
      <c r="J278">
        <v>79</v>
      </c>
      <c r="K278">
        <v>0</v>
      </c>
      <c r="L278" t="s">
        <v>93</v>
      </c>
    </row>
    <row r="279" spans="1:12">
      <c r="A279" t="s">
        <v>1004</v>
      </c>
      <c r="B279" t="s">
        <v>368</v>
      </c>
      <c r="C279" t="s">
        <v>364</v>
      </c>
      <c r="D279" t="s">
        <v>369</v>
      </c>
      <c r="E279" t="s">
        <v>1005</v>
      </c>
      <c r="F279" t="s">
        <v>1006</v>
      </c>
      <c r="G279">
        <v>183135</v>
      </c>
      <c r="H279">
        <v>30713</v>
      </c>
      <c r="I279">
        <v>3.9</v>
      </c>
      <c r="J279">
        <v>40</v>
      </c>
      <c r="K279">
        <v>1</v>
      </c>
      <c r="L279" t="s">
        <v>93</v>
      </c>
    </row>
    <row r="280" spans="1:12">
      <c r="A280" t="s">
        <v>1007</v>
      </c>
      <c r="B280" t="s">
        <v>363</v>
      </c>
      <c r="C280" t="s">
        <v>375</v>
      </c>
      <c r="D280" t="s">
        <v>387</v>
      </c>
      <c r="E280" t="s">
        <v>1008</v>
      </c>
      <c r="G280">
        <v>59263</v>
      </c>
      <c r="H280">
        <v>17438</v>
      </c>
      <c r="I280">
        <v>2.4</v>
      </c>
      <c r="J280">
        <v>41</v>
      </c>
      <c r="K280">
        <v>1</v>
      </c>
      <c r="L280" t="s">
        <v>50</v>
      </c>
    </row>
    <row r="281" spans="1:12">
      <c r="A281" t="s">
        <v>1009</v>
      </c>
      <c r="B281" t="s">
        <v>368</v>
      </c>
      <c r="C281" t="s">
        <v>382</v>
      </c>
      <c r="D281" t="s">
        <v>387</v>
      </c>
      <c r="E281" t="s">
        <v>1010</v>
      </c>
      <c r="G281">
        <v>69607</v>
      </c>
      <c r="H281">
        <v>0</v>
      </c>
      <c r="I281">
        <v>1.8</v>
      </c>
      <c r="J281">
        <v>73</v>
      </c>
      <c r="K281">
        <v>3</v>
      </c>
      <c r="L281" t="s">
        <v>50</v>
      </c>
    </row>
    <row r="282" spans="1:12">
      <c r="A282" t="s">
        <v>1011</v>
      </c>
      <c r="B282" t="s">
        <v>363</v>
      </c>
      <c r="C282" t="s">
        <v>4</v>
      </c>
      <c r="D282" t="s">
        <v>417</v>
      </c>
      <c r="E282" t="s">
        <v>1012</v>
      </c>
      <c r="G282">
        <v>349295</v>
      </c>
      <c r="H282">
        <v>1850272</v>
      </c>
      <c r="I282">
        <v>1.3</v>
      </c>
      <c r="J282">
        <v>71</v>
      </c>
      <c r="K282">
        <v>3</v>
      </c>
      <c r="L282" t="s">
        <v>50</v>
      </c>
    </row>
    <row r="283" spans="1:12">
      <c r="A283" t="s">
        <v>1013</v>
      </c>
      <c r="B283" t="s">
        <v>368</v>
      </c>
      <c r="C283" t="s">
        <v>375</v>
      </c>
      <c r="D283" t="s">
        <v>378</v>
      </c>
      <c r="E283" t="s">
        <v>1014</v>
      </c>
      <c r="G283">
        <v>484708</v>
      </c>
      <c r="H283">
        <v>38662</v>
      </c>
      <c r="I283">
        <v>4.5</v>
      </c>
      <c r="J283">
        <v>45</v>
      </c>
      <c r="K283">
        <v>1</v>
      </c>
      <c r="L283" t="s">
        <v>93</v>
      </c>
    </row>
    <row r="284" spans="1:12">
      <c r="A284" t="s">
        <v>1015</v>
      </c>
      <c r="B284" t="s">
        <v>368</v>
      </c>
      <c r="C284" t="s">
        <v>375</v>
      </c>
      <c r="D284" t="s">
        <v>378</v>
      </c>
      <c r="E284" t="s">
        <v>1016</v>
      </c>
      <c r="G284">
        <v>528255</v>
      </c>
      <c r="H284">
        <v>0</v>
      </c>
      <c r="I284">
        <v>3.1</v>
      </c>
      <c r="J284">
        <v>75</v>
      </c>
      <c r="K284">
        <v>0</v>
      </c>
      <c r="L284" t="s">
        <v>50</v>
      </c>
    </row>
    <row r="285" spans="1:12">
      <c r="A285" t="s">
        <v>1017</v>
      </c>
      <c r="B285" t="s">
        <v>399</v>
      </c>
      <c r="C285" t="s">
        <v>375</v>
      </c>
      <c r="D285" t="s">
        <v>378</v>
      </c>
      <c r="E285" t="s">
        <v>1018</v>
      </c>
      <c r="G285">
        <v>537467</v>
      </c>
      <c r="H285">
        <v>35817</v>
      </c>
      <c r="I285">
        <v>2.9</v>
      </c>
      <c r="J285">
        <v>60</v>
      </c>
      <c r="K285">
        <v>0</v>
      </c>
      <c r="L285" t="s">
        <v>50</v>
      </c>
    </row>
    <row r="286" spans="1:12">
      <c r="A286" t="s">
        <v>1019</v>
      </c>
      <c r="B286" t="s">
        <v>374</v>
      </c>
      <c r="C286" t="s">
        <v>4</v>
      </c>
      <c r="D286" t="s">
        <v>417</v>
      </c>
      <c r="E286" t="s">
        <v>1020</v>
      </c>
      <c r="G286">
        <v>315340</v>
      </c>
      <c r="H286">
        <v>606888</v>
      </c>
      <c r="I286">
        <v>2</v>
      </c>
      <c r="J286">
        <v>50</v>
      </c>
      <c r="K286">
        <v>0</v>
      </c>
      <c r="L286" t="s">
        <v>50</v>
      </c>
    </row>
    <row r="287" spans="1:12">
      <c r="A287" t="s">
        <v>1021</v>
      </c>
      <c r="B287" t="s">
        <v>368</v>
      </c>
      <c r="C287" t="s">
        <v>4</v>
      </c>
      <c r="D287" t="s">
        <v>417</v>
      </c>
      <c r="E287" t="s">
        <v>786</v>
      </c>
      <c r="G287">
        <v>357355</v>
      </c>
      <c r="H287">
        <v>1888838</v>
      </c>
      <c r="I287">
        <v>3</v>
      </c>
      <c r="J287">
        <v>68</v>
      </c>
      <c r="K287">
        <v>0</v>
      </c>
      <c r="L287" t="s">
        <v>50</v>
      </c>
    </row>
    <row r="288" spans="1:12">
      <c r="A288" t="s">
        <v>1022</v>
      </c>
      <c r="B288" t="s">
        <v>399</v>
      </c>
      <c r="C288" t="s">
        <v>382</v>
      </c>
      <c r="D288" t="s">
        <v>383</v>
      </c>
      <c r="E288" t="s">
        <v>1023</v>
      </c>
      <c r="F288" t="s">
        <v>1024</v>
      </c>
      <c r="G288">
        <v>123488</v>
      </c>
      <c r="H288">
        <v>0</v>
      </c>
      <c r="I288">
        <v>4.5</v>
      </c>
      <c r="J288">
        <v>65</v>
      </c>
      <c r="K288">
        <v>0</v>
      </c>
      <c r="L288" t="s">
        <v>50</v>
      </c>
    </row>
    <row r="289" spans="1:12">
      <c r="A289" t="s">
        <v>1025</v>
      </c>
      <c r="B289" t="s">
        <v>399</v>
      </c>
      <c r="C289" t="s">
        <v>382</v>
      </c>
      <c r="D289" t="s">
        <v>378</v>
      </c>
      <c r="E289" t="s">
        <v>1026</v>
      </c>
      <c r="G289">
        <v>537068</v>
      </c>
      <c r="H289">
        <v>49008</v>
      </c>
      <c r="I289">
        <v>1.4</v>
      </c>
      <c r="J289">
        <v>92</v>
      </c>
      <c r="K289">
        <v>1</v>
      </c>
      <c r="L289" t="s">
        <v>50</v>
      </c>
    </row>
    <row r="290" spans="1:12">
      <c r="A290" t="s">
        <v>1027</v>
      </c>
      <c r="B290" t="s">
        <v>363</v>
      </c>
      <c r="C290" t="s">
        <v>4</v>
      </c>
      <c r="D290" t="s">
        <v>387</v>
      </c>
      <c r="E290" t="s">
        <v>1028</v>
      </c>
      <c r="G290">
        <v>55515</v>
      </c>
      <c r="H290">
        <v>2229979</v>
      </c>
      <c r="I290">
        <v>4.7</v>
      </c>
      <c r="J290">
        <v>65</v>
      </c>
      <c r="K290">
        <v>2</v>
      </c>
      <c r="L290" t="s">
        <v>50</v>
      </c>
    </row>
    <row r="291" spans="1:12">
      <c r="A291" t="s">
        <v>1029</v>
      </c>
      <c r="B291" t="s">
        <v>399</v>
      </c>
      <c r="C291" t="s">
        <v>364</v>
      </c>
      <c r="D291" t="s">
        <v>387</v>
      </c>
      <c r="E291" t="s">
        <v>1030</v>
      </c>
      <c r="G291">
        <v>58557</v>
      </c>
      <c r="H291">
        <v>0</v>
      </c>
      <c r="I291">
        <v>1.9</v>
      </c>
      <c r="J291">
        <v>100</v>
      </c>
      <c r="K291">
        <v>1</v>
      </c>
      <c r="L291" t="s">
        <v>50</v>
      </c>
    </row>
    <row r="292" spans="1:12">
      <c r="A292" t="s">
        <v>1031</v>
      </c>
      <c r="B292" t="s">
        <v>368</v>
      </c>
      <c r="C292" t="s">
        <v>375</v>
      </c>
      <c r="D292" t="s">
        <v>383</v>
      </c>
      <c r="E292" t="s">
        <v>1032</v>
      </c>
      <c r="G292">
        <v>118752</v>
      </c>
      <c r="H292">
        <v>0</v>
      </c>
      <c r="I292">
        <v>4.3</v>
      </c>
      <c r="J292">
        <v>80</v>
      </c>
      <c r="K292">
        <v>0</v>
      </c>
      <c r="L292" t="s">
        <v>50</v>
      </c>
    </row>
    <row r="293" spans="1:12">
      <c r="A293" t="s">
        <v>1033</v>
      </c>
      <c r="B293" t="s">
        <v>363</v>
      </c>
      <c r="C293" t="s">
        <v>375</v>
      </c>
      <c r="D293" t="s">
        <v>417</v>
      </c>
      <c r="E293" t="s">
        <v>1034</v>
      </c>
      <c r="G293">
        <v>307455</v>
      </c>
      <c r="H293">
        <v>0</v>
      </c>
      <c r="I293">
        <v>4.9000000000000004</v>
      </c>
      <c r="J293">
        <v>82</v>
      </c>
      <c r="K293">
        <v>1</v>
      </c>
      <c r="L293" t="s">
        <v>50</v>
      </c>
    </row>
    <row r="294" spans="1:12">
      <c r="A294" t="s">
        <v>1035</v>
      </c>
      <c r="B294" t="s">
        <v>399</v>
      </c>
      <c r="C294" t="s">
        <v>382</v>
      </c>
      <c r="D294" t="s">
        <v>365</v>
      </c>
      <c r="E294" t="s">
        <v>758</v>
      </c>
      <c r="F294" t="s">
        <v>1036</v>
      </c>
      <c r="G294">
        <v>186016</v>
      </c>
      <c r="H294">
        <v>0</v>
      </c>
      <c r="I294">
        <v>4.0999999999999996</v>
      </c>
      <c r="J294">
        <v>65</v>
      </c>
      <c r="K294">
        <v>3</v>
      </c>
      <c r="L294" t="s">
        <v>93</v>
      </c>
    </row>
    <row r="295" spans="1:12">
      <c r="A295" t="s">
        <v>1037</v>
      </c>
      <c r="B295" t="s">
        <v>399</v>
      </c>
      <c r="C295" t="s">
        <v>364</v>
      </c>
      <c r="D295" t="s">
        <v>437</v>
      </c>
      <c r="E295" t="s">
        <v>1038</v>
      </c>
      <c r="G295">
        <v>389166</v>
      </c>
      <c r="H295">
        <v>0</v>
      </c>
      <c r="I295">
        <v>4</v>
      </c>
      <c r="J295">
        <v>76</v>
      </c>
      <c r="K295">
        <v>3</v>
      </c>
      <c r="L295" t="s">
        <v>50</v>
      </c>
    </row>
    <row r="296" spans="1:12">
      <c r="A296" t="s">
        <v>1039</v>
      </c>
      <c r="B296" t="s">
        <v>368</v>
      </c>
      <c r="C296" t="s">
        <v>382</v>
      </c>
      <c r="D296" t="s">
        <v>383</v>
      </c>
      <c r="E296" t="s">
        <v>1040</v>
      </c>
      <c r="F296" t="s">
        <v>1041</v>
      </c>
      <c r="G296">
        <v>104270</v>
      </c>
      <c r="H296">
        <v>0</v>
      </c>
      <c r="I296">
        <v>4.5999999999999996</v>
      </c>
      <c r="J296">
        <v>83</v>
      </c>
      <c r="K296">
        <v>3</v>
      </c>
      <c r="L296" t="s">
        <v>50</v>
      </c>
    </row>
    <row r="297" spans="1:12">
      <c r="A297" t="s">
        <v>1042</v>
      </c>
      <c r="B297" t="s">
        <v>399</v>
      </c>
      <c r="C297" t="s">
        <v>382</v>
      </c>
      <c r="D297" t="s">
        <v>437</v>
      </c>
      <c r="E297" t="s">
        <v>1043</v>
      </c>
      <c r="G297">
        <v>477528</v>
      </c>
      <c r="H297">
        <v>0</v>
      </c>
      <c r="I297">
        <v>1.8</v>
      </c>
      <c r="J297">
        <v>41</v>
      </c>
      <c r="K297">
        <v>2</v>
      </c>
      <c r="L297" t="s">
        <v>50</v>
      </c>
    </row>
    <row r="298" spans="1:12">
      <c r="A298" t="s">
        <v>1044</v>
      </c>
      <c r="B298" t="s">
        <v>399</v>
      </c>
      <c r="C298" t="s">
        <v>375</v>
      </c>
      <c r="D298" t="s">
        <v>378</v>
      </c>
      <c r="E298" t="s">
        <v>1045</v>
      </c>
      <c r="G298">
        <v>419741</v>
      </c>
      <c r="H298">
        <v>0</v>
      </c>
      <c r="I298">
        <v>3.2</v>
      </c>
      <c r="J298">
        <v>61</v>
      </c>
      <c r="K298">
        <v>1</v>
      </c>
      <c r="L298" t="s">
        <v>50</v>
      </c>
    </row>
    <row r="299" spans="1:12">
      <c r="A299" t="s">
        <v>1046</v>
      </c>
      <c r="B299" t="s">
        <v>363</v>
      </c>
      <c r="C299" t="s">
        <v>364</v>
      </c>
      <c r="D299" t="s">
        <v>417</v>
      </c>
      <c r="E299" t="s">
        <v>1047</v>
      </c>
      <c r="G299">
        <v>237055</v>
      </c>
      <c r="H299">
        <v>25604</v>
      </c>
      <c r="I299">
        <v>3.3</v>
      </c>
      <c r="J299">
        <v>76</v>
      </c>
      <c r="K299">
        <v>0</v>
      </c>
      <c r="L299" t="s">
        <v>50</v>
      </c>
    </row>
    <row r="300" spans="1:12">
      <c r="A300" t="s">
        <v>1048</v>
      </c>
      <c r="B300" t="s">
        <v>399</v>
      </c>
      <c r="C300" t="s">
        <v>382</v>
      </c>
      <c r="D300" t="s">
        <v>365</v>
      </c>
      <c r="E300" t="s">
        <v>1049</v>
      </c>
      <c r="G300">
        <v>174024</v>
      </c>
      <c r="H300">
        <v>0</v>
      </c>
      <c r="I300">
        <v>1.9</v>
      </c>
      <c r="J300">
        <v>87</v>
      </c>
      <c r="K300">
        <v>3</v>
      </c>
      <c r="L300" t="s">
        <v>50</v>
      </c>
    </row>
    <row r="301" spans="1:12">
      <c r="A301" t="s">
        <v>1050</v>
      </c>
      <c r="B301" t="s">
        <v>374</v>
      </c>
      <c r="C301" t="s">
        <v>4</v>
      </c>
      <c r="D301" t="s">
        <v>365</v>
      </c>
      <c r="E301" t="s">
        <v>573</v>
      </c>
      <c r="G301">
        <v>315880</v>
      </c>
      <c r="H301">
        <v>569999</v>
      </c>
      <c r="I301">
        <v>1.4</v>
      </c>
      <c r="J301">
        <v>45</v>
      </c>
      <c r="K301">
        <v>0</v>
      </c>
      <c r="L301" t="s">
        <v>50</v>
      </c>
    </row>
    <row r="302" spans="1:12">
      <c r="A302" t="s">
        <v>1051</v>
      </c>
      <c r="B302" t="s">
        <v>399</v>
      </c>
      <c r="C302" t="s">
        <v>375</v>
      </c>
      <c r="D302" t="s">
        <v>365</v>
      </c>
      <c r="E302" t="s">
        <v>1052</v>
      </c>
      <c r="G302">
        <v>190232</v>
      </c>
      <c r="H302">
        <v>0</v>
      </c>
      <c r="I302">
        <v>1.1000000000000001</v>
      </c>
      <c r="J302">
        <v>41</v>
      </c>
      <c r="K302">
        <v>0</v>
      </c>
      <c r="L302" t="s">
        <v>93</v>
      </c>
    </row>
    <row r="303" spans="1:12">
      <c r="A303" t="s">
        <v>1053</v>
      </c>
      <c r="B303" t="s">
        <v>399</v>
      </c>
      <c r="C303" t="s">
        <v>4</v>
      </c>
      <c r="D303" t="s">
        <v>387</v>
      </c>
      <c r="E303" t="s">
        <v>1054</v>
      </c>
      <c r="G303">
        <v>43488</v>
      </c>
      <c r="H303">
        <v>777425</v>
      </c>
      <c r="I303">
        <v>1.7</v>
      </c>
      <c r="J303">
        <v>65</v>
      </c>
      <c r="K303">
        <v>1</v>
      </c>
      <c r="L303" t="s">
        <v>50</v>
      </c>
    </row>
    <row r="304" spans="1:12">
      <c r="A304" t="s">
        <v>1055</v>
      </c>
      <c r="B304" t="s">
        <v>363</v>
      </c>
      <c r="C304" t="s">
        <v>375</v>
      </c>
      <c r="D304" t="s">
        <v>417</v>
      </c>
      <c r="E304" t="s">
        <v>1056</v>
      </c>
      <c r="G304">
        <v>234375</v>
      </c>
      <c r="H304">
        <v>40760</v>
      </c>
      <c r="I304">
        <v>3.3</v>
      </c>
      <c r="J304">
        <v>96</v>
      </c>
      <c r="K304">
        <v>0</v>
      </c>
      <c r="L304" t="s">
        <v>50</v>
      </c>
    </row>
    <row r="305" spans="1:12">
      <c r="A305" t="s">
        <v>1057</v>
      </c>
      <c r="B305" t="s">
        <v>399</v>
      </c>
      <c r="C305" t="s">
        <v>4</v>
      </c>
      <c r="D305" t="s">
        <v>387</v>
      </c>
      <c r="E305" t="s">
        <v>1058</v>
      </c>
      <c r="G305">
        <v>79306</v>
      </c>
      <c r="H305">
        <v>1020960</v>
      </c>
      <c r="I305">
        <v>3.3</v>
      </c>
      <c r="J305">
        <v>73</v>
      </c>
      <c r="K305">
        <v>1</v>
      </c>
      <c r="L305" t="s">
        <v>50</v>
      </c>
    </row>
    <row r="306" spans="1:12">
      <c r="A306" t="s">
        <v>1059</v>
      </c>
      <c r="B306" t="s">
        <v>363</v>
      </c>
      <c r="C306" t="s">
        <v>375</v>
      </c>
      <c r="D306" t="s">
        <v>437</v>
      </c>
      <c r="E306" t="s">
        <v>1060</v>
      </c>
      <c r="G306">
        <v>331842</v>
      </c>
      <c r="H306">
        <v>0</v>
      </c>
      <c r="I306">
        <v>1.2</v>
      </c>
      <c r="J306">
        <v>78</v>
      </c>
      <c r="K306">
        <v>1</v>
      </c>
      <c r="L306" t="s">
        <v>50</v>
      </c>
    </row>
    <row r="307" spans="1:12">
      <c r="A307" t="s">
        <v>1061</v>
      </c>
      <c r="B307" t="s">
        <v>363</v>
      </c>
      <c r="C307" t="s">
        <v>4</v>
      </c>
      <c r="D307" t="s">
        <v>387</v>
      </c>
      <c r="E307" t="s">
        <v>1062</v>
      </c>
      <c r="G307">
        <v>45053</v>
      </c>
      <c r="H307">
        <v>1970243</v>
      </c>
      <c r="I307">
        <v>3.7</v>
      </c>
      <c r="J307">
        <v>45</v>
      </c>
      <c r="K307">
        <v>0</v>
      </c>
      <c r="L307" t="s">
        <v>50</v>
      </c>
    </row>
    <row r="308" spans="1:12">
      <c r="A308" t="s">
        <v>1063</v>
      </c>
      <c r="B308" t="s">
        <v>374</v>
      </c>
      <c r="C308" t="s">
        <v>4</v>
      </c>
      <c r="D308" t="s">
        <v>378</v>
      </c>
      <c r="E308" t="s">
        <v>1064</v>
      </c>
      <c r="G308">
        <v>519904</v>
      </c>
      <c r="H308">
        <v>1227185</v>
      </c>
      <c r="I308">
        <v>2.2999999999999998</v>
      </c>
      <c r="J308">
        <v>80</v>
      </c>
      <c r="K308">
        <v>1</v>
      </c>
      <c r="L308" t="s">
        <v>50</v>
      </c>
    </row>
    <row r="309" spans="1:12">
      <c r="A309" t="s">
        <v>1065</v>
      </c>
      <c r="B309" t="s">
        <v>363</v>
      </c>
      <c r="C309" t="s">
        <v>364</v>
      </c>
      <c r="D309" t="s">
        <v>437</v>
      </c>
      <c r="E309" t="s">
        <v>1066</v>
      </c>
      <c r="G309">
        <v>439434</v>
      </c>
      <c r="H309">
        <v>12226</v>
      </c>
      <c r="I309">
        <v>2.4</v>
      </c>
      <c r="J309">
        <v>98</v>
      </c>
      <c r="K309">
        <v>0</v>
      </c>
      <c r="L309" t="s">
        <v>50</v>
      </c>
    </row>
    <row r="310" spans="1:12">
      <c r="A310" t="s">
        <v>1067</v>
      </c>
      <c r="B310" t="s">
        <v>363</v>
      </c>
      <c r="C310" t="s">
        <v>382</v>
      </c>
      <c r="D310" t="s">
        <v>378</v>
      </c>
      <c r="E310" t="s">
        <v>1068</v>
      </c>
      <c r="G310">
        <v>291186</v>
      </c>
      <c r="H310">
        <v>0</v>
      </c>
      <c r="I310">
        <v>4.3</v>
      </c>
      <c r="J310">
        <v>52</v>
      </c>
      <c r="K310">
        <v>0</v>
      </c>
      <c r="L310" t="s">
        <v>50</v>
      </c>
    </row>
    <row r="311" spans="1:12">
      <c r="A311" t="s">
        <v>1069</v>
      </c>
      <c r="B311" t="s">
        <v>363</v>
      </c>
      <c r="C311" t="s">
        <v>364</v>
      </c>
      <c r="D311" t="s">
        <v>437</v>
      </c>
      <c r="E311" t="s">
        <v>1070</v>
      </c>
      <c r="G311">
        <v>390312</v>
      </c>
      <c r="H311">
        <v>0</v>
      </c>
      <c r="I311">
        <v>2.8</v>
      </c>
      <c r="J311">
        <v>91</v>
      </c>
      <c r="K311">
        <v>3</v>
      </c>
      <c r="L311" t="s">
        <v>50</v>
      </c>
    </row>
    <row r="312" spans="1:12">
      <c r="A312" t="s">
        <v>1071</v>
      </c>
      <c r="B312" t="s">
        <v>399</v>
      </c>
      <c r="C312" t="s">
        <v>382</v>
      </c>
      <c r="D312" t="s">
        <v>417</v>
      </c>
      <c r="E312" t="s">
        <v>1072</v>
      </c>
      <c r="G312">
        <v>214580</v>
      </c>
      <c r="H312">
        <v>11304</v>
      </c>
      <c r="I312">
        <v>2.8</v>
      </c>
      <c r="J312">
        <v>42</v>
      </c>
      <c r="K312">
        <v>1</v>
      </c>
      <c r="L312" t="s">
        <v>50</v>
      </c>
    </row>
    <row r="313" spans="1:12">
      <c r="A313" t="s">
        <v>1073</v>
      </c>
      <c r="B313" t="s">
        <v>368</v>
      </c>
      <c r="C313" t="s">
        <v>375</v>
      </c>
      <c r="D313" t="s">
        <v>417</v>
      </c>
      <c r="E313" t="s">
        <v>1074</v>
      </c>
      <c r="G313">
        <v>319185</v>
      </c>
      <c r="H313">
        <v>0</v>
      </c>
      <c r="I313">
        <v>2.7</v>
      </c>
      <c r="J313">
        <v>79</v>
      </c>
      <c r="K313">
        <v>1</v>
      </c>
      <c r="L313" t="s">
        <v>50</v>
      </c>
    </row>
    <row r="314" spans="1:12">
      <c r="A314" t="s">
        <v>1075</v>
      </c>
      <c r="B314" t="s">
        <v>399</v>
      </c>
      <c r="C314" t="s">
        <v>375</v>
      </c>
      <c r="D314" t="s">
        <v>387</v>
      </c>
      <c r="E314" t="s">
        <v>1076</v>
      </c>
      <c r="G314">
        <v>45404</v>
      </c>
      <c r="H314">
        <v>0</v>
      </c>
      <c r="I314">
        <v>1.3</v>
      </c>
      <c r="J314">
        <v>74</v>
      </c>
      <c r="K314">
        <v>0</v>
      </c>
      <c r="L314" t="s">
        <v>50</v>
      </c>
    </row>
    <row r="315" spans="1:12">
      <c r="A315" t="s">
        <v>1077</v>
      </c>
      <c r="B315" t="s">
        <v>363</v>
      </c>
      <c r="C315" t="s">
        <v>375</v>
      </c>
      <c r="D315" t="s">
        <v>417</v>
      </c>
      <c r="E315" t="s">
        <v>1078</v>
      </c>
      <c r="G315">
        <v>215195</v>
      </c>
      <c r="H315">
        <v>0</v>
      </c>
      <c r="I315">
        <v>3.8</v>
      </c>
      <c r="J315">
        <v>70</v>
      </c>
      <c r="K315">
        <v>0</v>
      </c>
      <c r="L315" t="s">
        <v>50</v>
      </c>
    </row>
    <row r="316" spans="1:12">
      <c r="A316" t="s">
        <v>1079</v>
      </c>
      <c r="B316" t="s">
        <v>368</v>
      </c>
      <c r="C316" t="s">
        <v>375</v>
      </c>
      <c r="D316" t="s">
        <v>437</v>
      </c>
      <c r="E316" t="s">
        <v>1080</v>
      </c>
      <c r="G316">
        <v>390912</v>
      </c>
      <c r="H316">
        <v>43973</v>
      </c>
      <c r="I316">
        <v>3.6</v>
      </c>
      <c r="J316">
        <v>100</v>
      </c>
      <c r="K316">
        <v>3</v>
      </c>
      <c r="L316" t="s">
        <v>50</v>
      </c>
    </row>
    <row r="317" spans="1:12">
      <c r="A317" t="s">
        <v>1081</v>
      </c>
      <c r="B317" t="s">
        <v>374</v>
      </c>
      <c r="C317" t="s">
        <v>375</v>
      </c>
      <c r="D317" t="s">
        <v>378</v>
      </c>
      <c r="E317" t="s">
        <v>1082</v>
      </c>
      <c r="G317">
        <v>504854</v>
      </c>
      <c r="H317">
        <v>0</v>
      </c>
      <c r="I317">
        <v>4.7</v>
      </c>
      <c r="J317">
        <v>52</v>
      </c>
      <c r="K317">
        <v>0</v>
      </c>
      <c r="L317" t="s">
        <v>50</v>
      </c>
    </row>
    <row r="318" spans="1:12">
      <c r="A318" t="s">
        <v>1083</v>
      </c>
      <c r="B318" t="s">
        <v>399</v>
      </c>
      <c r="C318" t="s">
        <v>382</v>
      </c>
      <c r="D318" t="s">
        <v>383</v>
      </c>
      <c r="E318" t="s">
        <v>1084</v>
      </c>
      <c r="G318">
        <v>114940</v>
      </c>
      <c r="H318">
        <v>16875</v>
      </c>
      <c r="I318">
        <v>3.7</v>
      </c>
      <c r="J318">
        <v>69</v>
      </c>
      <c r="K318">
        <v>0</v>
      </c>
      <c r="L318" t="s">
        <v>50</v>
      </c>
    </row>
    <row r="319" spans="1:12">
      <c r="A319" t="s">
        <v>1085</v>
      </c>
      <c r="B319" t="s">
        <v>399</v>
      </c>
      <c r="C319" t="s">
        <v>382</v>
      </c>
      <c r="D319" t="s">
        <v>365</v>
      </c>
      <c r="E319" t="s">
        <v>1086</v>
      </c>
      <c r="F319" t="s">
        <v>1087</v>
      </c>
      <c r="G319">
        <v>293180</v>
      </c>
      <c r="H319">
        <v>0</v>
      </c>
      <c r="I319">
        <v>3</v>
      </c>
      <c r="J319">
        <v>65</v>
      </c>
      <c r="K319">
        <v>2</v>
      </c>
      <c r="L319" t="s">
        <v>50</v>
      </c>
    </row>
    <row r="320" spans="1:12">
      <c r="A320" t="s">
        <v>1088</v>
      </c>
      <c r="B320" t="s">
        <v>368</v>
      </c>
      <c r="C320" t="s">
        <v>364</v>
      </c>
      <c r="D320" t="s">
        <v>365</v>
      </c>
      <c r="E320" t="s">
        <v>1089</v>
      </c>
      <c r="G320">
        <v>249360</v>
      </c>
      <c r="H320">
        <v>0</v>
      </c>
      <c r="I320">
        <v>4.2</v>
      </c>
      <c r="J320">
        <v>78</v>
      </c>
      <c r="K320">
        <v>0</v>
      </c>
      <c r="L320" t="s">
        <v>50</v>
      </c>
    </row>
    <row r="321" spans="1:12">
      <c r="A321" t="s">
        <v>1090</v>
      </c>
      <c r="B321" t="s">
        <v>399</v>
      </c>
      <c r="C321" t="s">
        <v>4</v>
      </c>
      <c r="D321" t="s">
        <v>365</v>
      </c>
      <c r="E321" t="s">
        <v>1091</v>
      </c>
      <c r="G321">
        <v>272360</v>
      </c>
      <c r="H321">
        <v>2416033</v>
      </c>
      <c r="I321">
        <v>4.7</v>
      </c>
      <c r="J321">
        <v>96</v>
      </c>
      <c r="K321">
        <v>0</v>
      </c>
      <c r="L321" t="s">
        <v>50</v>
      </c>
    </row>
    <row r="322" spans="1:12">
      <c r="A322" t="s">
        <v>1092</v>
      </c>
      <c r="B322" t="s">
        <v>399</v>
      </c>
      <c r="C322" t="s">
        <v>364</v>
      </c>
      <c r="D322" t="s">
        <v>365</v>
      </c>
      <c r="E322" t="s">
        <v>1093</v>
      </c>
      <c r="G322">
        <v>207984</v>
      </c>
      <c r="H322">
        <v>31830</v>
      </c>
      <c r="I322">
        <v>3.7</v>
      </c>
      <c r="J322">
        <v>94</v>
      </c>
      <c r="K322">
        <v>1</v>
      </c>
      <c r="L322" t="s">
        <v>50</v>
      </c>
    </row>
    <row r="323" spans="1:12">
      <c r="A323" t="s">
        <v>1094</v>
      </c>
      <c r="B323" t="s">
        <v>399</v>
      </c>
      <c r="C323" t="s">
        <v>382</v>
      </c>
      <c r="D323" t="s">
        <v>369</v>
      </c>
      <c r="E323" t="s">
        <v>1095</v>
      </c>
      <c r="G323">
        <v>143760</v>
      </c>
      <c r="H323">
        <v>0</v>
      </c>
      <c r="I323">
        <v>2.6</v>
      </c>
      <c r="J323">
        <v>65</v>
      </c>
      <c r="K323">
        <v>2</v>
      </c>
      <c r="L323" t="s">
        <v>50</v>
      </c>
    </row>
    <row r="324" spans="1:12">
      <c r="A324" t="s">
        <v>1096</v>
      </c>
      <c r="B324" t="s">
        <v>374</v>
      </c>
      <c r="C324" t="s">
        <v>364</v>
      </c>
      <c r="D324" t="s">
        <v>369</v>
      </c>
      <c r="E324" t="s">
        <v>1097</v>
      </c>
      <c r="G324">
        <v>228438</v>
      </c>
      <c r="H324">
        <v>0</v>
      </c>
      <c r="I324">
        <v>4.0999999999999996</v>
      </c>
      <c r="J324">
        <v>62</v>
      </c>
      <c r="K324">
        <v>2</v>
      </c>
      <c r="L324" t="s">
        <v>50</v>
      </c>
    </row>
    <row r="325" spans="1:12">
      <c r="A325" t="s">
        <v>1098</v>
      </c>
      <c r="B325" t="s">
        <v>368</v>
      </c>
      <c r="C325" t="s">
        <v>4</v>
      </c>
      <c r="D325" t="s">
        <v>369</v>
      </c>
      <c r="E325" t="s">
        <v>1099</v>
      </c>
      <c r="G325">
        <v>203595</v>
      </c>
      <c r="H325">
        <v>1318655</v>
      </c>
      <c r="I325">
        <v>3</v>
      </c>
      <c r="J325">
        <v>65</v>
      </c>
      <c r="K325">
        <v>0</v>
      </c>
      <c r="L325" t="s">
        <v>50</v>
      </c>
    </row>
    <row r="326" spans="1:12">
      <c r="A326" t="s">
        <v>1100</v>
      </c>
      <c r="B326" t="s">
        <v>363</v>
      </c>
      <c r="C326" t="s">
        <v>382</v>
      </c>
      <c r="D326" t="s">
        <v>387</v>
      </c>
      <c r="E326" t="s">
        <v>1101</v>
      </c>
      <c r="F326" t="s">
        <v>1102</v>
      </c>
      <c r="G326">
        <v>67845</v>
      </c>
      <c r="H326">
        <v>41128</v>
      </c>
      <c r="I326">
        <v>2</v>
      </c>
      <c r="J326">
        <v>60</v>
      </c>
      <c r="K326">
        <v>1</v>
      </c>
      <c r="L326" t="s">
        <v>50</v>
      </c>
    </row>
    <row r="327" spans="1:12">
      <c r="A327" t="s">
        <v>1103</v>
      </c>
      <c r="B327" t="s">
        <v>368</v>
      </c>
      <c r="C327" t="s">
        <v>364</v>
      </c>
      <c r="D327" t="s">
        <v>437</v>
      </c>
      <c r="E327" t="s">
        <v>665</v>
      </c>
      <c r="F327" t="s">
        <v>1104</v>
      </c>
      <c r="G327">
        <v>320772</v>
      </c>
      <c r="H327">
        <v>0</v>
      </c>
      <c r="I327">
        <v>4.4000000000000004</v>
      </c>
      <c r="J327">
        <v>68</v>
      </c>
      <c r="K327">
        <v>2</v>
      </c>
      <c r="L327" t="s">
        <v>50</v>
      </c>
    </row>
    <row r="328" spans="1:12">
      <c r="A328" t="s">
        <v>1105</v>
      </c>
      <c r="B328" t="s">
        <v>399</v>
      </c>
      <c r="C328" t="s">
        <v>375</v>
      </c>
      <c r="D328" t="s">
        <v>387</v>
      </c>
      <c r="E328" t="s">
        <v>1106</v>
      </c>
      <c r="G328">
        <v>76523</v>
      </c>
      <c r="H328">
        <v>47022</v>
      </c>
      <c r="I328">
        <v>4.9000000000000004</v>
      </c>
      <c r="J328">
        <v>44</v>
      </c>
      <c r="K328">
        <v>0</v>
      </c>
      <c r="L328" t="s">
        <v>50</v>
      </c>
    </row>
    <row r="329" spans="1:12">
      <c r="A329" t="s">
        <v>1107</v>
      </c>
      <c r="B329" t="s">
        <v>399</v>
      </c>
      <c r="C329" t="s">
        <v>4</v>
      </c>
      <c r="D329" t="s">
        <v>365</v>
      </c>
      <c r="E329" t="s">
        <v>1108</v>
      </c>
      <c r="G329">
        <v>300284</v>
      </c>
      <c r="H329">
        <v>986895</v>
      </c>
      <c r="I329">
        <v>4.4000000000000004</v>
      </c>
      <c r="J329">
        <v>74</v>
      </c>
      <c r="K329">
        <v>3</v>
      </c>
      <c r="L329" t="s">
        <v>50</v>
      </c>
    </row>
    <row r="330" spans="1:12">
      <c r="A330" t="s">
        <v>1109</v>
      </c>
      <c r="B330" t="s">
        <v>374</v>
      </c>
      <c r="C330" t="s">
        <v>375</v>
      </c>
      <c r="D330" t="s">
        <v>417</v>
      </c>
      <c r="E330" t="s">
        <v>1110</v>
      </c>
      <c r="G330">
        <v>336170</v>
      </c>
      <c r="H330">
        <v>0</v>
      </c>
      <c r="I330">
        <v>3.6</v>
      </c>
      <c r="J330">
        <v>96</v>
      </c>
      <c r="K330">
        <v>2</v>
      </c>
      <c r="L330" t="s">
        <v>50</v>
      </c>
    </row>
    <row r="331" spans="1:12">
      <c r="A331" t="s">
        <v>1111</v>
      </c>
      <c r="B331" t="s">
        <v>363</v>
      </c>
      <c r="C331" t="s">
        <v>364</v>
      </c>
      <c r="D331" t="s">
        <v>387</v>
      </c>
      <c r="E331" t="s">
        <v>1112</v>
      </c>
      <c r="G331">
        <v>58631</v>
      </c>
      <c r="H331">
        <v>44603</v>
      </c>
      <c r="I331">
        <v>1.5</v>
      </c>
      <c r="J331">
        <v>51</v>
      </c>
      <c r="K331">
        <v>0</v>
      </c>
      <c r="L331" t="s">
        <v>93</v>
      </c>
    </row>
    <row r="332" spans="1:12">
      <c r="A332" t="s">
        <v>1113</v>
      </c>
      <c r="B332" t="s">
        <v>399</v>
      </c>
      <c r="C332" t="s">
        <v>364</v>
      </c>
      <c r="D332" t="s">
        <v>365</v>
      </c>
      <c r="E332" t="s">
        <v>1114</v>
      </c>
      <c r="G332">
        <v>200264</v>
      </c>
      <c r="H332">
        <v>0</v>
      </c>
      <c r="I332">
        <v>4.3</v>
      </c>
      <c r="J332">
        <v>73</v>
      </c>
      <c r="K332">
        <v>0</v>
      </c>
      <c r="L332" t="s">
        <v>50</v>
      </c>
    </row>
    <row r="333" spans="1:12">
      <c r="A333" t="s">
        <v>1115</v>
      </c>
      <c r="B333" t="s">
        <v>363</v>
      </c>
      <c r="C333" t="s">
        <v>4</v>
      </c>
      <c r="D333" t="s">
        <v>383</v>
      </c>
      <c r="E333" t="s">
        <v>1116</v>
      </c>
      <c r="G333">
        <v>142546</v>
      </c>
      <c r="H333">
        <v>1216700</v>
      </c>
      <c r="I333">
        <v>2.1</v>
      </c>
      <c r="J333">
        <v>42</v>
      </c>
      <c r="K333">
        <v>3</v>
      </c>
      <c r="L333" t="s">
        <v>50</v>
      </c>
    </row>
    <row r="334" spans="1:12">
      <c r="A334" t="s">
        <v>1117</v>
      </c>
      <c r="B334" t="s">
        <v>368</v>
      </c>
      <c r="C334" t="s">
        <v>375</v>
      </c>
      <c r="D334" t="s">
        <v>365</v>
      </c>
      <c r="E334" t="s">
        <v>1118</v>
      </c>
      <c r="F334" t="s">
        <v>1119</v>
      </c>
      <c r="G334">
        <v>258488</v>
      </c>
      <c r="H334">
        <v>0</v>
      </c>
      <c r="I334">
        <v>4.2</v>
      </c>
      <c r="J334">
        <v>94</v>
      </c>
      <c r="K334">
        <v>2</v>
      </c>
      <c r="L334" t="s">
        <v>50</v>
      </c>
    </row>
    <row r="335" spans="1:12">
      <c r="A335" t="s">
        <v>1120</v>
      </c>
      <c r="B335" t="s">
        <v>374</v>
      </c>
      <c r="C335" t="s">
        <v>364</v>
      </c>
      <c r="D335" t="s">
        <v>383</v>
      </c>
      <c r="E335" t="s">
        <v>1121</v>
      </c>
      <c r="G335">
        <v>135388</v>
      </c>
      <c r="H335">
        <v>49365</v>
      </c>
      <c r="I335">
        <v>2.7</v>
      </c>
      <c r="J335">
        <v>95</v>
      </c>
      <c r="K335">
        <v>0</v>
      </c>
      <c r="L335" t="s">
        <v>50</v>
      </c>
    </row>
    <row r="336" spans="1:12">
      <c r="A336" t="s">
        <v>1122</v>
      </c>
      <c r="B336" t="s">
        <v>374</v>
      </c>
      <c r="C336" t="s">
        <v>364</v>
      </c>
      <c r="D336" t="s">
        <v>365</v>
      </c>
      <c r="E336" t="s">
        <v>1123</v>
      </c>
      <c r="G336">
        <v>225932</v>
      </c>
      <c r="H336">
        <v>0</v>
      </c>
      <c r="I336">
        <v>1.7</v>
      </c>
      <c r="J336">
        <v>92</v>
      </c>
      <c r="K336">
        <v>0</v>
      </c>
      <c r="L336" t="s">
        <v>50</v>
      </c>
    </row>
    <row r="337" spans="1:12">
      <c r="A337" t="s">
        <v>1124</v>
      </c>
      <c r="B337" t="s">
        <v>374</v>
      </c>
      <c r="C337" t="s">
        <v>4</v>
      </c>
      <c r="D337" t="s">
        <v>417</v>
      </c>
      <c r="E337" t="s">
        <v>1125</v>
      </c>
      <c r="G337">
        <v>378710</v>
      </c>
      <c r="H337">
        <v>1670337</v>
      </c>
      <c r="I337">
        <v>2.4</v>
      </c>
      <c r="J337">
        <v>61</v>
      </c>
      <c r="K337">
        <v>0</v>
      </c>
      <c r="L337" t="s">
        <v>50</v>
      </c>
    </row>
    <row r="338" spans="1:12">
      <c r="A338" t="s">
        <v>1126</v>
      </c>
      <c r="B338" t="s">
        <v>363</v>
      </c>
      <c r="C338" t="s">
        <v>364</v>
      </c>
      <c r="D338" t="s">
        <v>378</v>
      </c>
      <c r="E338" t="s">
        <v>1127</v>
      </c>
      <c r="G338">
        <v>316512</v>
      </c>
      <c r="H338">
        <v>0</v>
      </c>
      <c r="I338">
        <v>1.9</v>
      </c>
      <c r="J338">
        <v>49</v>
      </c>
      <c r="K338">
        <v>0</v>
      </c>
      <c r="L338" t="s">
        <v>93</v>
      </c>
    </row>
    <row r="339" spans="1:12">
      <c r="A339" t="s">
        <v>1128</v>
      </c>
      <c r="B339" t="s">
        <v>399</v>
      </c>
      <c r="C339" t="s">
        <v>375</v>
      </c>
      <c r="D339" t="s">
        <v>378</v>
      </c>
      <c r="E339" t="s">
        <v>1129</v>
      </c>
      <c r="G339">
        <v>343903</v>
      </c>
      <c r="H339">
        <v>0</v>
      </c>
      <c r="I339">
        <v>2.2999999999999998</v>
      </c>
      <c r="J339">
        <v>56</v>
      </c>
      <c r="K339">
        <v>1</v>
      </c>
      <c r="L339" t="s">
        <v>50</v>
      </c>
    </row>
    <row r="340" spans="1:12">
      <c r="A340" t="s">
        <v>1130</v>
      </c>
      <c r="B340" t="s">
        <v>363</v>
      </c>
      <c r="C340" t="s">
        <v>375</v>
      </c>
      <c r="D340" t="s">
        <v>369</v>
      </c>
      <c r="E340" t="s">
        <v>1131</v>
      </c>
      <c r="G340">
        <v>195915</v>
      </c>
      <c r="H340">
        <v>0</v>
      </c>
      <c r="I340">
        <v>2.6</v>
      </c>
      <c r="J340">
        <v>73</v>
      </c>
      <c r="K340">
        <v>0</v>
      </c>
      <c r="L340" t="s">
        <v>93</v>
      </c>
    </row>
    <row r="341" spans="1:12">
      <c r="A341" t="s">
        <v>1132</v>
      </c>
      <c r="B341" t="s">
        <v>399</v>
      </c>
      <c r="C341" t="s">
        <v>382</v>
      </c>
      <c r="D341" t="s">
        <v>383</v>
      </c>
      <c r="E341" t="s">
        <v>1133</v>
      </c>
      <c r="G341">
        <v>102238</v>
      </c>
      <c r="H341">
        <v>0</v>
      </c>
      <c r="I341">
        <v>4.5</v>
      </c>
      <c r="J341">
        <v>65</v>
      </c>
      <c r="K341">
        <v>0</v>
      </c>
      <c r="L341" t="s">
        <v>50</v>
      </c>
    </row>
    <row r="342" spans="1:12">
      <c r="A342" t="s">
        <v>1134</v>
      </c>
      <c r="B342" t="s">
        <v>374</v>
      </c>
      <c r="C342" t="s">
        <v>4</v>
      </c>
      <c r="D342" t="s">
        <v>387</v>
      </c>
      <c r="E342" t="s">
        <v>1135</v>
      </c>
      <c r="F342" t="s">
        <v>1136</v>
      </c>
      <c r="G342">
        <v>49175</v>
      </c>
      <c r="H342">
        <v>1729588</v>
      </c>
      <c r="I342">
        <v>1.7</v>
      </c>
      <c r="J342">
        <v>95</v>
      </c>
      <c r="K342">
        <v>0</v>
      </c>
      <c r="L342" t="s">
        <v>50</v>
      </c>
    </row>
    <row r="343" spans="1:12">
      <c r="A343" t="s">
        <v>1137</v>
      </c>
      <c r="B343" t="s">
        <v>374</v>
      </c>
      <c r="C343" t="s">
        <v>375</v>
      </c>
      <c r="D343" t="s">
        <v>378</v>
      </c>
      <c r="E343" t="s">
        <v>1138</v>
      </c>
      <c r="G343">
        <v>470806</v>
      </c>
      <c r="H343">
        <v>0</v>
      </c>
      <c r="I343">
        <v>2.6</v>
      </c>
      <c r="J343">
        <v>49</v>
      </c>
      <c r="K343">
        <v>0</v>
      </c>
      <c r="L343" t="s">
        <v>50</v>
      </c>
    </row>
    <row r="344" spans="1:12">
      <c r="A344" t="s">
        <v>1139</v>
      </c>
      <c r="B344" t="s">
        <v>363</v>
      </c>
      <c r="C344" t="s">
        <v>375</v>
      </c>
      <c r="D344" t="s">
        <v>378</v>
      </c>
      <c r="E344" t="s">
        <v>1140</v>
      </c>
      <c r="G344">
        <v>398524</v>
      </c>
      <c r="H344">
        <v>0</v>
      </c>
      <c r="I344">
        <v>4.5999999999999996</v>
      </c>
      <c r="J344">
        <v>45</v>
      </c>
      <c r="K344">
        <v>1</v>
      </c>
      <c r="L344" t="s">
        <v>50</v>
      </c>
    </row>
    <row r="345" spans="1:12">
      <c r="A345" t="s">
        <v>1141</v>
      </c>
      <c r="B345" t="s">
        <v>368</v>
      </c>
      <c r="C345" t="s">
        <v>382</v>
      </c>
      <c r="D345" t="s">
        <v>437</v>
      </c>
      <c r="E345" t="s">
        <v>1142</v>
      </c>
      <c r="G345">
        <v>450390</v>
      </c>
      <c r="H345">
        <v>0</v>
      </c>
      <c r="I345">
        <v>2.6</v>
      </c>
      <c r="J345">
        <v>44</v>
      </c>
      <c r="K345">
        <v>2</v>
      </c>
      <c r="L345" t="s">
        <v>50</v>
      </c>
    </row>
    <row r="346" spans="1:12">
      <c r="A346" t="s">
        <v>1143</v>
      </c>
      <c r="B346" t="s">
        <v>368</v>
      </c>
      <c r="C346" t="s">
        <v>364</v>
      </c>
      <c r="D346" t="s">
        <v>417</v>
      </c>
      <c r="E346" t="s">
        <v>1144</v>
      </c>
      <c r="G346">
        <v>363670</v>
      </c>
      <c r="H346">
        <v>12687</v>
      </c>
      <c r="I346">
        <v>2.5</v>
      </c>
      <c r="J346">
        <v>70</v>
      </c>
      <c r="K346">
        <v>0</v>
      </c>
      <c r="L346" t="s">
        <v>50</v>
      </c>
    </row>
    <row r="347" spans="1:12">
      <c r="A347" t="s">
        <v>1145</v>
      </c>
      <c r="B347" t="s">
        <v>399</v>
      </c>
      <c r="C347" t="s">
        <v>364</v>
      </c>
      <c r="D347" t="s">
        <v>387</v>
      </c>
      <c r="E347" t="s">
        <v>1146</v>
      </c>
      <c r="G347">
        <v>75017</v>
      </c>
      <c r="H347">
        <v>33716</v>
      </c>
      <c r="I347">
        <v>3.3</v>
      </c>
      <c r="J347">
        <v>88</v>
      </c>
      <c r="K347">
        <v>1</v>
      </c>
      <c r="L347" t="s">
        <v>50</v>
      </c>
    </row>
    <row r="348" spans="1:12">
      <c r="A348" t="s">
        <v>1147</v>
      </c>
      <c r="B348" t="s">
        <v>399</v>
      </c>
      <c r="C348" t="s">
        <v>382</v>
      </c>
      <c r="D348" t="s">
        <v>365</v>
      </c>
      <c r="E348" t="s">
        <v>1148</v>
      </c>
      <c r="F348" t="s">
        <v>1149</v>
      </c>
      <c r="G348">
        <v>308508</v>
      </c>
      <c r="H348">
        <v>0</v>
      </c>
      <c r="I348">
        <v>1.6</v>
      </c>
      <c r="J348">
        <v>58</v>
      </c>
      <c r="K348">
        <v>0</v>
      </c>
      <c r="L348" t="s">
        <v>50</v>
      </c>
    </row>
    <row r="349" spans="1:12">
      <c r="A349" t="s">
        <v>1150</v>
      </c>
      <c r="B349" t="s">
        <v>363</v>
      </c>
      <c r="C349" t="s">
        <v>364</v>
      </c>
      <c r="D349" t="s">
        <v>417</v>
      </c>
      <c r="E349" t="s">
        <v>1016</v>
      </c>
      <c r="G349">
        <v>341735</v>
      </c>
      <c r="H349">
        <v>0</v>
      </c>
      <c r="I349">
        <v>2.6</v>
      </c>
      <c r="J349">
        <v>65</v>
      </c>
      <c r="K349">
        <v>1</v>
      </c>
      <c r="L349" t="s">
        <v>93</v>
      </c>
    </row>
    <row r="350" spans="1:12">
      <c r="A350" t="s">
        <v>1151</v>
      </c>
      <c r="B350" t="s">
        <v>368</v>
      </c>
      <c r="C350" t="s">
        <v>375</v>
      </c>
      <c r="D350" t="s">
        <v>365</v>
      </c>
      <c r="E350" t="s">
        <v>1152</v>
      </c>
      <c r="G350">
        <v>305452</v>
      </c>
      <c r="H350">
        <v>0</v>
      </c>
      <c r="I350">
        <v>4.5999999999999996</v>
      </c>
      <c r="J350">
        <v>52</v>
      </c>
      <c r="K350">
        <v>0</v>
      </c>
      <c r="L350" t="s">
        <v>50</v>
      </c>
    </row>
    <row r="351" spans="1:12">
      <c r="A351" t="s">
        <v>1153</v>
      </c>
      <c r="B351" t="s">
        <v>363</v>
      </c>
      <c r="C351" t="s">
        <v>375</v>
      </c>
      <c r="D351" t="s">
        <v>417</v>
      </c>
      <c r="E351" t="s">
        <v>1154</v>
      </c>
      <c r="F351" t="s">
        <v>1155</v>
      </c>
      <c r="G351">
        <v>298110</v>
      </c>
      <c r="H351">
        <v>0</v>
      </c>
      <c r="I351">
        <v>4.5</v>
      </c>
      <c r="J351">
        <v>68</v>
      </c>
      <c r="K351">
        <v>0</v>
      </c>
      <c r="L351" t="s">
        <v>50</v>
      </c>
    </row>
    <row r="352" spans="1:12">
      <c r="A352" t="s">
        <v>1156</v>
      </c>
      <c r="B352" t="s">
        <v>399</v>
      </c>
      <c r="C352" t="s">
        <v>382</v>
      </c>
      <c r="D352" t="s">
        <v>387</v>
      </c>
      <c r="E352" t="s">
        <v>1157</v>
      </c>
      <c r="G352">
        <v>79055</v>
      </c>
      <c r="H352">
        <v>0</v>
      </c>
      <c r="I352">
        <v>3.6</v>
      </c>
      <c r="J352">
        <v>96</v>
      </c>
      <c r="K352">
        <v>0</v>
      </c>
      <c r="L352" t="s">
        <v>93</v>
      </c>
    </row>
    <row r="353" spans="1:12">
      <c r="A353" t="s">
        <v>1158</v>
      </c>
      <c r="B353" t="s">
        <v>374</v>
      </c>
      <c r="C353" t="s">
        <v>4</v>
      </c>
      <c r="D353" t="s">
        <v>417</v>
      </c>
      <c r="E353" t="s">
        <v>1159</v>
      </c>
      <c r="G353">
        <v>241210</v>
      </c>
      <c r="H353">
        <v>2276318</v>
      </c>
      <c r="I353">
        <v>3.1</v>
      </c>
      <c r="J353">
        <v>57</v>
      </c>
      <c r="K353">
        <v>0</v>
      </c>
      <c r="L353" t="s">
        <v>50</v>
      </c>
    </row>
    <row r="354" spans="1:12">
      <c r="A354" t="s">
        <v>1160</v>
      </c>
      <c r="B354" t="s">
        <v>363</v>
      </c>
      <c r="C354" t="s">
        <v>375</v>
      </c>
      <c r="D354" t="s">
        <v>383</v>
      </c>
      <c r="E354" t="s">
        <v>1161</v>
      </c>
      <c r="G354">
        <v>101142</v>
      </c>
      <c r="H354">
        <v>0</v>
      </c>
      <c r="I354">
        <v>2.5</v>
      </c>
      <c r="J354">
        <v>89</v>
      </c>
      <c r="K354">
        <v>0</v>
      </c>
      <c r="L354" t="s">
        <v>50</v>
      </c>
    </row>
    <row r="355" spans="1:12">
      <c r="A355" t="s">
        <v>1162</v>
      </c>
      <c r="B355" t="s">
        <v>374</v>
      </c>
      <c r="C355" t="s">
        <v>364</v>
      </c>
      <c r="D355" t="s">
        <v>365</v>
      </c>
      <c r="E355" t="s">
        <v>1163</v>
      </c>
      <c r="G355">
        <v>316488</v>
      </c>
      <c r="H355">
        <v>0</v>
      </c>
      <c r="I355">
        <v>4.8</v>
      </c>
      <c r="J355">
        <v>51</v>
      </c>
      <c r="K355">
        <v>0</v>
      </c>
      <c r="L355" t="s">
        <v>50</v>
      </c>
    </row>
    <row r="356" spans="1:12">
      <c r="A356" t="s">
        <v>1164</v>
      </c>
      <c r="B356" t="s">
        <v>363</v>
      </c>
      <c r="C356" t="s">
        <v>382</v>
      </c>
      <c r="D356" t="s">
        <v>365</v>
      </c>
      <c r="E356" t="s">
        <v>1165</v>
      </c>
      <c r="G356">
        <v>191756</v>
      </c>
      <c r="H356">
        <v>49027</v>
      </c>
      <c r="I356">
        <v>3.3</v>
      </c>
      <c r="J356">
        <v>47</v>
      </c>
      <c r="K356">
        <v>3</v>
      </c>
      <c r="L356" t="s">
        <v>50</v>
      </c>
    </row>
    <row r="357" spans="1:12">
      <c r="A357" t="s">
        <v>1166</v>
      </c>
      <c r="B357" t="s">
        <v>399</v>
      </c>
      <c r="C357" t="s">
        <v>4</v>
      </c>
      <c r="D357" t="s">
        <v>387</v>
      </c>
      <c r="E357" t="s">
        <v>1167</v>
      </c>
      <c r="G357">
        <v>68964</v>
      </c>
      <c r="H357">
        <v>1241570</v>
      </c>
      <c r="I357">
        <v>2.4</v>
      </c>
      <c r="J357">
        <v>92</v>
      </c>
      <c r="K357">
        <v>2</v>
      </c>
      <c r="L357" t="s">
        <v>50</v>
      </c>
    </row>
    <row r="358" spans="1:12">
      <c r="A358" t="s">
        <v>1168</v>
      </c>
      <c r="B358" t="s">
        <v>374</v>
      </c>
      <c r="C358" t="s">
        <v>364</v>
      </c>
      <c r="D358" t="s">
        <v>378</v>
      </c>
      <c r="E358" t="s">
        <v>1169</v>
      </c>
      <c r="G358">
        <v>508200</v>
      </c>
      <c r="H358">
        <v>0</v>
      </c>
      <c r="I358">
        <v>4</v>
      </c>
      <c r="J358">
        <v>48</v>
      </c>
      <c r="K358">
        <v>3</v>
      </c>
      <c r="L358" t="s">
        <v>50</v>
      </c>
    </row>
    <row r="359" spans="1:12">
      <c r="A359" t="s">
        <v>1170</v>
      </c>
      <c r="B359" t="s">
        <v>399</v>
      </c>
      <c r="C359" t="s">
        <v>382</v>
      </c>
      <c r="D359" t="s">
        <v>437</v>
      </c>
      <c r="E359" t="s">
        <v>1171</v>
      </c>
      <c r="F359" t="s">
        <v>1172</v>
      </c>
      <c r="G359">
        <v>450588</v>
      </c>
      <c r="H359">
        <v>0</v>
      </c>
      <c r="I359">
        <v>1.8</v>
      </c>
      <c r="J359">
        <v>57</v>
      </c>
      <c r="K359">
        <v>1</v>
      </c>
      <c r="L359" t="s">
        <v>50</v>
      </c>
    </row>
    <row r="360" spans="1:12">
      <c r="A360" t="s">
        <v>1173</v>
      </c>
      <c r="B360" t="s">
        <v>368</v>
      </c>
      <c r="C360" t="s">
        <v>364</v>
      </c>
      <c r="D360" t="s">
        <v>378</v>
      </c>
      <c r="E360" t="s">
        <v>591</v>
      </c>
      <c r="F360" t="s">
        <v>653</v>
      </c>
      <c r="G360">
        <v>437829</v>
      </c>
      <c r="H360">
        <v>48562</v>
      </c>
      <c r="I360">
        <v>4.0999999999999996</v>
      </c>
      <c r="J360">
        <v>56</v>
      </c>
      <c r="K360">
        <v>0</v>
      </c>
      <c r="L360" t="s">
        <v>50</v>
      </c>
    </row>
    <row r="361" spans="1:12">
      <c r="A361" t="s">
        <v>1174</v>
      </c>
      <c r="B361" t="s">
        <v>368</v>
      </c>
      <c r="C361" t="s">
        <v>4</v>
      </c>
      <c r="D361" t="s">
        <v>387</v>
      </c>
      <c r="E361" t="s">
        <v>1175</v>
      </c>
      <c r="G361">
        <v>64228</v>
      </c>
      <c r="H361">
        <v>467856</v>
      </c>
      <c r="I361">
        <v>4.8</v>
      </c>
      <c r="J361">
        <v>57</v>
      </c>
      <c r="K361">
        <v>0</v>
      </c>
      <c r="L361" t="s">
        <v>50</v>
      </c>
    </row>
    <row r="362" spans="1:12">
      <c r="A362" t="s">
        <v>1176</v>
      </c>
      <c r="B362" t="s">
        <v>399</v>
      </c>
      <c r="C362" t="s">
        <v>375</v>
      </c>
      <c r="D362" t="s">
        <v>383</v>
      </c>
      <c r="E362" t="s">
        <v>1177</v>
      </c>
      <c r="G362">
        <v>145868</v>
      </c>
      <c r="H362">
        <v>0</v>
      </c>
      <c r="I362">
        <v>2.2000000000000002</v>
      </c>
      <c r="J362">
        <v>64</v>
      </c>
      <c r="K362">
        <v>1</v>
      </c>
      <c r="L362" t="s">
        <v>50</v>
      </c>
    </row>
    <row r="363" spans="1:12">
      <c r="A363" t="s">
        <v>1178</v>
      </c>
      <c r="B363" t="s">
        <v>368</v>
      </c>
      <c r="C363" t="s">
        <v>364</v>
      </c>
      <c r="D363" t="s">
        <v>437</v>
      </c>
      <c r="E363" t="s">
        <v>1179</v>
      </c>
      <c r="G363">
        <v>431928</v>
      </c>
      <c r="H363">
        <v>0</v>
      </c>
      <c r="I363">
        <v>1.4</v>
      </c>
      <c r="J363">
        <v>52</v>
      </c>
      <c r="K363">
        <v>0</v>
      </c>
      <c r="L363" t="s">
        <v>50</v>
      </c>
    </row>
    <row r="364" spans="1:12">
      <c r="A364" t="s">
        <v>1180</v>
      </c>
      <c r="B364" t="s">
        <v>374</v>
      </c>
      <c r="C364" t="s">
        <v>382</v>
      </c>
      <c r="D364" t="s">
        <v>437</v>
      </c>
      <c r="E364" t="s">
        <v>1181</v>
      </c>
      <c r="G364">
        <v>356142</v>
      </c>
      <c r="H364">
        <v>23544</v>
      </c>
      <c r="I364">
        <v>3.7</v>
      </c>
      <c r="J364">
        <v>87</v>
      </c>
      <c r="K364">
        <v>1</v>
      </c>
      <c r="L364" t="s">
        <v>50</v>
      </c>
    </row>
    <row r="365" spans="1:12">
      <c r="A365" t="s">
        <v>1182</v>
      </c>
      <c r="B365" t="s">
        <v>399</v>
      </c>
      <c r="C365" t="s">
        <v>382</v>
      </c>
      <c r="D365" t="s">
        <v>383</v>
      </c>
      <c r="E365" t="s">
        <v>1183</v>
      </c>
      <c r="G365">
        <v>146730</v>
      </c>
      <c r="H365">
        <v>0</v>
      </c>
      <c r="I365">
        <v>4.3</v>
      </c>
      <c r="J365">
        <v>89</v>
      </c>
      <c r="K365">
        <v>1</v>
      </c>
      <c r="L365" t="s">
        <v>50</v>
      </c>
    </row>
    <row r="366" spans="1:12">
      <c r="A366" t="s">
        <v>1184</v>
      </c>
      <c r="B366" t="s">
        <v>368</v>
      </c>
      <c r="C366" t="s">
        <v>4</v>
      </c>
      <c r="D366" t="s">
        <v>378</v>
      </c>
      <c r="E366" t="s">
        <v>1185</v>
      </c>
      <c r="G366">
        <v>382116</v>
      </c>
      <c r="H366">
        <v>636724</v>
      </c>
      <c r="I366">
        <v>2</v>
      </c>
      <c r="J366">
        <v>40</v>
      </c>
      <c r="K366">
        <v>0</v>
      </c>
      <c r="L366" t="s">
        <v>50</v>
      </c>
    </row>
    <row r="367" spans="1:12">
      <c r="A367" t="s">
        <v>1186</v>
      </c>
      <c r="B367" t="s">
        <v>374</v>
      </c>
      <c r="C367" t="s">
        <v>382</v>
      </c>
      <c r="D367" t="s">
        <v>437</v>
      </c>
      <c r="E367" t="s">
        <v>1187</v>
      </c>
      <c r="F367" t="s">
        <v>1188</v>
      </c>
      <c r="G367">
        <v>427398</v>
      </c>
      <c r="H367">
        <v>0</v>
      </c>
      <c r="I367">
        <v>2.9</v>
      </c>
      <c r="J367">
        <v>58</v>
      </c>
      <c r="K367">
        <v>1</v>
      </c>
      <c r="L367" t="s">
        <v>50</v>
      </c>
    </row>
    <row r="368" spans="1:12">
      <c r="A368" t="s">
        <v>1189</v>
      </c>
      <c r="B368" t="s">
        <v>399</v>
      </c>
      <c r="C368" t="s">
        <v>382</v>
      </c>
      <c r="D368" t="s">
        <v>383</v>
      </c>
      <c r="E368" t="s">
        <v>1190</v>
      </c>
      <c r="G368">
        <v>98876</v>
      </c>
      <c r="H368">
        <v>0</v>
      </c>
      <c r="I368">
        <v>4.5</v>
      </c>
      <c r="J368">
        <v>54</v>
      </c>
      <c r="K368">
        <v>0</v>
      </c>
      <c r="L368" t="s">
        <v>50</v>
      </c>
    </row>
    <row r="369" spans="1:12">
      <c r="A369" t="s">
        <v>1191</v>
      </c>
      <c r="B369" t="s">
        <v>368</v>
      </c>
      <c r="C369" t="s">
        <v>382</v>
      </c>
      <c r="D369" t="s">
        <v>383</v>
      </c>
      <c r="E369" t="s">
        <v>1192</v>
      </c>
      <c r="G369">
        <v>131946</v>
      </c>
      <c r="H369">
        <v>21282</v>
      </c>
      <c r="I369">
        <v>1.1000000000000001</v>
      </c>
      <c r="J369">
        <v>71</v>
      </c>
      <c r="K369">
        <v>2</v>
      </c>
      <c r="L369" t="s">
        <v>50</v>
      </c>
    </row>
    <row r="370" spans="1:12">
      <c r="A370" t="s">
        <v>1193</v>
      </c>
      <c r="B370" t="s">
        <v>399</v>
      </c>
      <c r="C370" t="s">
        <v>364</v>
      </c>
      <c r="D370" t="s">
        <v>417</v>
      </c>
      <c r="E370" t="s">
        <v>1194</v>
      </c>
      <c r="F370" t="s">
        <v>1195</v>
      </c>
      <c r="G370">
        <v>385085</v>
      </c>
      <c r="H370">
        <v>0</v>
      </c>
      <c r="I370">
        <v>2.6</v>
      </c>
      <c r="J370">
        <v>46</v>
      </c>
      <c r="K370">
        <v>2</v>
      </c>
      <c r="L370" t="s">
        <v>50</v>
      </c>
    </row>
    <row r="371" spans="1:12">
      <c r="A371" t="s">
        <v>1196</v>
      </c>
      <c r="B371" t="s">
        <v>368</v>
      </c>
      <c r="C371" t="s">
        <v>364</v>
      </c>
      <c r="D371" t="s">
        <v>369</v>
      </c>
      <c r="E371" t="s">
        <v>860</v>
      </c>
      <c r="G371">
        <v>177447</v>
      </c>
      <c r="H371">
        <v>0</v>
      </c>
      <c r="I371">
        <v>3</v>
      </c>
      <c r="J371">
        <v>75</v>
      </c>
      <c r="K371">
        <v>1</v>
      </c>
      <c r="L371" t="s">
        <v>50</v>
      </c>
    </row>
    <row r="372" spans="1:12">
      <c r="A372" t="s">
        <v>1197</v>
      </c>
      <c r="B372" t="s">
        <v>363</v>
      </c>
      <c r="C372" t="s">
        <v>375</v>
      </c>
      <c r="D372" t="s">
        <v>437</v>
      </c>
      <c r="E372" t="s">
        <v>1198</v>
      </c>
      <c r="G372">
        <v>350928</v>
      </c>
      <c r="H372">
        <v>0</v>
      </c>
      <c r="I372">
        <v>4.8</v>
      </c>
      <c r="J372">
        <v>81</v>
      </c>
      <c r="K372">
        <v>0</v>
      </c>
      <c r="L372" t="s">
        <v>50</v>
      </c>
    </row>
    <row r="373" spans="1:12">
      <c r="A373" t="s">
        <v>1199</v>
      </c>
      <c r="B373" t="s">
        <v>363</v>
      </c>
      <c r="C373" t="s">
        <v>4</v>
      </c>
      <c r="D373" t="s">
        <v>369</v>
      </c>
      <c r="E373" t="s">
        <v>1200</v>
      </c>
      <c r="G373">
        <v>138063</v>
      </c>
      <c r="H373">
        <v>2412234</v>
      </c>
      <c r="I373">
        <v>4.3</v>
      </c>
      <c r="J373">
        <v>49</v>
      </c>
      <c r="K373">
        <v>0</v>
      </c>
      <c r="L373" t="s">
        <v>50</v>
      </c>
    </row>
    <row r="374" spans="1:12">
      <c r="A374" t="s">
        <v>1201</v>
      </c>
      <c r="B374" t="s">
        <v>368</v>
      </c>
      <c r="C374" t="s">
        <v>375</v>
      </c>
      <c r="D374" t="s">
        <v>383</v>
      </c>
      <c r="E374" t="s">
        <v>1202</v>
      </c>
      <c r="G374">
        <v>119052</v>
      </c>
      <c r="H374">
        <v>0</v>
      </c>
      <c r="I374">
        <v>4.3</v>
      </c>
      <c r="J374">
        <v>86</v>
      </c>
      <c r="K374">
        <v>0</v>
      </c>
      <c r="L374" t="s">
        <v>93</v>
      </c>
    </row>
    <row r="375" spans="1:12">
      <c r="A375" t="s">
        <v>1203</v>
      </c>
      <c r="B375" t="s">
        <v>399</v>
      </c>
      <c r="C375" t="s">
        <v>382</v>
      </c>
      <c r="D375" t="s">
        <v>378</v>
      </c>
      <c r="E375" t="s">
        <v>1204</v>
      </c>
      <c r="G375">
        <v>445431</v>
      </c>
      <c r="H375">
        <v>0</v>
      </c>
      <c r="I375">
        <v>2.6</v>
      </c>
      <c r="J375">
        <v>85</v>
      </c>
      <c r="K375">
        <v>1</v>
      </c>
      <c r="L375" t="s">
        <v>50</v>
      </c>
    </row>
    <row r="376" spans="1:12">
      <c r="A376" t="s">
        <v>1205</v>
      </c>
      <c r="B376" t="s">
        <v>368</v>
      </c>
      <c r="C376" t="s">
        <v>364</v>
      </c>
      <c r="D376" t="s">
        <v>383</v>
      </c>
      <c r="E376" t="s">
        <v>1206</v>
      </c>
      <c r="G376">
        <v>123676</v>
      </c>
      <c r="H376">
        <v>0</v>
      </c>
      <c r="I376">
        <v>3.1</v>
      </c>
      <c r="J376">
        <v>68</v>
      </c>
      <c r="K376">
        <v>1</v>
      </c>
      <c r="L376" t="s">
        <v>50</v>
      </c>
    </row>
    <row r="377" spans="1:12">
      <c r="A377" t="s">
        <v>1207</v>
      </c>
      <c r="B377" t="s">
        <v>363</v>
      </c>
      <c r="C377" t="s">
        <v>375</v>
      </c>
      <c r="D377" t="s">
        <v>378</v>
      </c>
      <c r="E377" t="s">
        <v>1208</v>
      </c>
      <c r="G377">
        <v>344169</v>
      </c>
      <c r="H377">
        <v>0</v>
      </c>
      <c r="I377">
        <v>2.2999999999999998</v>
      </c>
      <c r="J377">
        <v>60</v>
      </c>
      <c r="K377">
        <v>2</v>
      </c>
      <c r="L377" t="s">
        <v>50</v>
      </c>
    </row>
    <row r="378" spans="1:12">
      <c r="A378" t="s">
        <v>1209</v>
      </c>
      <c r="B378" t="s">
        <v>363</v>
      </c>
      <c r="C378" t="s">
        <v>375</v>
      </c>
      <c r="D378" t="s">
        <v>369</v>
      </c>
      <c r="E378" t="s">
        <v>1210</v>
      </c>
      <c r="G378">
        <v>166365</v>
      </c>
      <c r="H378">
        <v>43672</v>
      </c>
      <c r="I378">
        <v>2.6</v>
      </c>
      <c r="J378">
        <v>59</v>
      </c>
      <c r="K378">
        <v>0</v>
      </c>
      <c r="L378" t="s">
        <v>50</v>
      </c>
    </row>
    <row r="379" spans="1:12">
      <c r="A379" t="s">
        <v>1211</v>
      </c>
      <c r="B379" t="s">
        <v>399</v>
      </c>
      <c r="C379" t="s">
        <v>364</v>
      </c>
      <c r="D379" t="s">
        <v>387</v>
      </c>
      <c r="E379" t="s">
        <v>1212</v>
      </c>
      <c r="F379" t="s">
        <v>1213</v>
      </c>
      <c r="G379">
        <v>52667</v>
      </c>
      <c r="H379">
        <v>0</v>
      </c>
      <c r="I379">
        <v>3.3</v>
      </c>
      <c r="J379">
        <v>45</v>
      </c>
      <c r="K379">
        <v>1</v>
      </c>
      <c r="L379" t="s">
        <v>50</v>
      </c>
    </row>
    <row r="380" spans="1:12">
      <c r="A380" t="s">
        <v>1214</v>
      </c>
      <c r="B380" t="s">
        <v>363</v>
      </c>
      <c r="C380" t="s">
        <v>364</v>
      </c>
      <c r="D380" t="s">
        <v>369</v>
      </c>
      <c r="E380" t="s">
        <v>1215</v>
      </c>
      <c r="G380">
        <v>167190</v>
      </c>
      <c r="H380">
        <v>0</v>
      </c>
      <c r="I380">
        <v>2.2000000000000002</v>
      </c>
      <c r="J380">
        <v>87</v>
      </c>
      <c r="K380">
        <v>1</v>
      </c>
      <c r="L380" t="s">
        <v>50</v>
      </c>
    </row>
    <row r="381" spans="1:12">
      <c r="A381" t="s">
        <v>1216</v>
      </c>
      <c r="B381" t="s">
        <v>399</v>
      </c>
      <c r="C381" t="s">
        <v>375</v>
      </c>
      <c r="D381" t="s">
        <v>387</v>
      </c>
      <c r="E381" t="s">
        <v>1217</v>
      </c>
      <c r="G381">
        <v>41394</v>
      </c>
      <c r="H381">
        <v>0</v>
      </c>
      <c r="I381">
        <v>2.1</v>
      </c>
      <c r="J381">
        <v>96</v>
      </c>
      <c r="K381">
        <v>0</v>
      </c>
      <c r="L381" t="s">
        <v>50</v>
      </c>
    </row>
    <row r="382" spans="1:12">
      <c r="A382" t="s">
        <v>1218</v>
      </c>
      <c r="B382" t="s">
        <v>399</v>
      </c>
      <c r="C382" t="s">
        <v>4</v>
      </c>
      <c r="D382" t="s">
        <v>369</v>
      </c>
      <c r="E382" t="s">
        <v>1219</v>
      </c>
      <c r="G382">
        <v>179727</v>
      </c>
      <c r="H382">
        <v>1422273</v>
      </c>
      <c r="I382">
        <v>3.9</v>
      </c>
      <c r="J382">
        <v>95</v>
      </c>
      <c r="K382">
        <v>1</v>
      </c>
      <c r="L382" t="s">
        <v>50</v>
      </c>
    </row>
    <row r="383" spans="1:12">
      <c r="A383" t="s">
        <v>1220</v>
      </c>
      <c r="B383" t="s">
        <v>399</v>
      </c>
      <c r="C383" t="s">
        <v>375</v>
      </c>
      <c r="D383" t="s">
        <v>383</v>
      </c>
      <c r="E383" t="s">
        <v>397</v>
      </c>
      <c r="G383">
        <v>132176</v>
      </c>
      <c r="H383">
        <v>37652</v>
      </c>
      <c r="I383">
        <v>2.1</v>
      </c>
      <c r="J383">
        <v>75</v>
      </c>
      <c r="K383">
        <v>0</v>
      </c>
      <c r="L383" t="s">
        <v>50</v>
      </c>
    </row>
    <row r="384" spans="1:12">
      <c r="A384" t="s">
        <v>1221</v>
      </c>
      <c r="B384" t="s">
        <v>368</v>
      </c>
      <c r="C384" t="s">
        <v>375</v>
      </c>
      <c r="D384" t="s">
        <v>387</v>
      </c>
      <c r="E384" t="s">
        <v>1222</v>
      </c>
      <c r="G384">
        <v>64778</v>
      </c>
      <c r="H384">
        <v>0</v>
      </c>
      <c r="I384">
        <v>2.6</v>
      </c>
      <c r="J384">
        <v>84</v>
      </c>
      <c r="K384">
        <v>1</v>
      </c>
      <c r="L384" t="s">
        <v>93</v>
      </c>
    </row>
    <row r="385" spans="1:12">
      <c r="A385" t="s">
        <v>1223</v>
      </c>
      <c r="B385" t="s">
        <v>374</v>
      </c>
      <c r="C385" t="s">
        <v>364</v>
      </c>
      <c r="D385" t="s">
        <v>437</v>
      </c>
      <c r="E385" t="s">
        <v>1224</v>
      </c>
      <c r="G385">
        <v>308016</v>
      </c>
      <c r="H385">
        <v>49065</v>
      </c>
      <c r="I385">
        <v>3</v>
      </c>
      <c r="J385">
        <v>61</v>
      </c>
      <c r="K385">
        <v>2</v>
      </c>
      <c r="L385" t="s">
        <v>50</v>
      </c>
    </row>
    <row r="386" spans="1:12">
      <c r="A386" t="s">
        <v>1225</v>
      </c>
      <c r="B386" t="s">
        <v>374</v>
      </c>
      <c r="C386" t="s">
        <v>364</v>
      </c>
      <c r="D386" t="s">
        <v>387</v>
      </c>
      <c r="E386" t="s">
        <v>1226</v>
      </c>
      <c r="G386">
        <v>68297</v>
      </c>
      <c r="H386">
        <v>41918</v>
      </c>
      <c r="I386">
        <v>1.9</v>
      </c>
      <c r="J386">
        <v>70</v>
      </c>
      <c r="K386">
        <v>0</v>
      </c>
      <c r="L386" t="s">
        <v>50</v>
      </c>
    </row>
    <row r="387" spans="1:12">
      <c r="A387" t="s">
        <v>1227</v>
      </c>
      <c r="B387" t="s">
        <v>368</v>
      </c>
      <c r="C387" t="s">
        <v>364</v>
      </c>
      <c r="D387" t="s">
        <v>387</v>
      </c>
      <c r="E387" t="s">
        <v>1228</v>
      </c>
      <c r="F387" t="s">
        <v>1229</v>
      </c>
      <c r="G387">
        <v>51351</v>
      </c>
      <c r="H387">
        <v>44319</v>
      </c>
      <c r="I387">
        <v>1.4</v>
      </c>
      <c r="J387">
        <v>60</v>
      </c>
      <c r="K387">
        <v>0</v>
      </c>
      <c r="L387" t="s">
        <v>50</v>
      </c>
    </row>
    <row r="388" spans="1:12">
      <c r="A388" t="s">
        <v>1230</v>
      </c>
      <c r="B388" t="s">
        <v>374</v>
      </c>
      <c r="C388" t="s">
        <v>382</v>
      </c>
      <c r="D388" t="s">
        <v>365</v>
      </c>
      <c r="E388" t="s">
        <v>1231</v>
      </c>
      <c r="G388">
        <v>213684</v>
      </c>
      <c r="H388">
        <v>0</v>
      </c>
      <c r="I388">
        <v>3.6</v>
      </c>
      <c r="J388">
        <v>95</v>
      </c>
      <c r="K388">
        <v>0</v>
      </c>
      <c r="L388" t="s">
        <v>50</v>
      </c>
    </row>
    <row r="389" spans="1:12">
      <c r="A389" t="s">
        <v>1232</v>
      </c>
      <c r="B389" t="s">
        <v>399</v>
      </c>
      <c r="C389" t="s">
        <v>364</v>
      </c>
      <c r="D389" t="s">
        <v>417</v>
      </c>
      <c r="E389" t="s">
        <v>1233</v>
      </c>
      <c r="G389">
        <v>271525</v>
      </c>
      <c r="H389">
        <v>0</v>
      </c>
      <c r="I389">
        <v>4</v>
      </c>
      <c r="J389">
        <v>63</v>
      </c>
      <c r="K389">
        <v>0</v>
      </c>
      <c r="L389" t="s">
        <v>50</v>
      </c>
    </row>
    <row r="390" spans="1:12">
      <c r="A390" t="s">
        <v>1234</v>
      </c>
      <c r="B390" t="s">
        <v>374</v>
      </c>
      <c r="C390" t="s">
        <v>4</v>
      </c>
      <c r="D390" t="s">
        <v>437</v>
      </c>
      <c r="E390" t="s">
        <v>1235</v>
      </c>
      <c r="G390">
        <v>468270</v>
      </c>
      <c r="H390">
        <v>1989327</v>
      </c>
      <c r="I390">
        <v>4.5999999999999996</v>
      </c>
      <c r="J390">
        <v>58</v>
      </c>
      <c r="K390">
        <v>1</v>
      </c>
      <c r="L390" t="s">
        <v>50</v>
      </c>
    </row>
    <row r="391" spans="1:12">
      <c r="A391" t="s">
        <v>1236</v>
      </c>
      <c r="B391" t="s">
        <v>374</v>
      </c>
      <c r="C391" t="s">
        <v>4</v>
      </c>
      <c r="D391" t="s">
        <v>369</v>
      </c>
      <c r="E391" t="s">
        <v>1237</v>
      </c>
      <c r="G391">
        <v>162696</v>
      </c>
      <c r="H391">
        <v>2381111</v>
      </c>
      <c r="I391">
        <v>3.6</v>
      </c>
      <c r="J391">
        <v>62</v>
      </c>
      <c r="K391">
        <v>0</v>
      </c>
      <c r="L391" t="s">
        <v>50</v>
      </c>
    </row>
    <row r="392" spans="1:12">
      <c r="A392" t="s">
        <v>1238</v>
      </c>
      <c r="B392" t="s">
        <v>363</v>
      </c>
      <c r="C392" t="s">
        <v>4</v>
      </c>
      <c r="D392" t="s">
        <v>378</v>
      </c>
      <c r="E392" t="s">
        <v>1239</v>
      </c>
      <c r="G392">
        <v>296198</v>
      </c>
      <c r="H392">
        <v>412727</v>
      </c>
      <c r="I392">
        <v>2.7</v>
      </c>
      <c r="J392">
        <v>55</v>
      </c>
      <c r="K392">
        <v>1</v>
      </c>
      <c r="L392" t="s">
        <v>50</v>
      </c>
    </row>
    <row r="393" spans="1:12">
      <c r="A393" t="s">
        <v>1240</v>
      </c>
      <c r="B393" t="s">
        <v>374</v>
      </c>
      <c r="C393" t="s">
        <v>375</v>
      </c>
      <c r="D393" t="s">
        <v>383</v>
      </c>
      <c r="E393" t="s">
        <v>1241</v>
      </c>
      <c r="F393" t="s">
        <v>1242</v>
      </c>
      <c r="G393">
        <v>91044</v>
      </c>
      <c r="H393">
        <v>46770</v>
      </c>
      <c r="I393">
        <v>1.5</v>
      </c>
      <c r="J393">
        <v>54</v>
      </c>
      <c r="K393">
        <v>2</v>
      </c>
      <c r="L393" t="s">
        <v>50</v>
      </c>
    </row>
    <row r="394" spans="1:12">
      <c r="A394" t="s">
        <v>1243</v>
      </c>
      <c r="B394" t="s">
        <v>374</v>
      </c>
      <c r="C394" t="s">
        <v>4</v>
      </c>
      <c r="D394" t="s">
        <v>437</v>
      </c>
      <c r="E394" t="s">
        <v>1244</v>
      </c>
      <c r="G394">
        <v>369768</v>
      </c>
      <c r="H394">
        <v>1135242</v>
      </c>
      <c r="I394">
        <v>3.3</v>
      </c>
      <c r="J394">
        <v>98</v>
      </c>
      <c r="K394">
        <v>1</v>
      </c>
      <c r="L394" t="s">
        <v>50</v>
      </c>
    </row>
    <row r="395" spans="1:12">
      <c r="A395" t="s">
        <v>1245</v>
      </c>
      <c r="B395" t="s">
        <v>374</v>
      </c>
      <c r="C395" t="s">
        <v>364</v>
      </c>
      <c r="D395" t="s">
        <v>365</v>
      </c>
      <c r="E395" t="s">
        <v>1246</v>
      </c>
      <c r="G395">
        <v>248448</v>
      </c>
      <c r="H395">
        <v>0</v>
      </c>
      <c r="I395">
        <v>2.9</v>
      </c>
      <c r="J395">
        <v>64</v>
      </c>
      <c r="K395">
        <v>1</v>
      </c>
      <c r="L395" t="s">
        <v>50</v>
      </c>
    </row>
    <row r="396" spans="1:12">
      <c r="A396" t="s">
        <v>1247</v>
      </c>
      <c r="B396" t="s">
        <v>374</v>
      </c>
      <c r="C396" t="s">
        <v>4</v>
      </c>
      <c r="D396" t="s">
        <v>378</v>
      </c>
      <c r="E396" t="s">
        <v>1248</v>
      </c>
      <c r="G396">
        <v>340977</v>
      </c>
      <c r="H396">
        <v>226230</v>
      </c>
      <c r="I396">
        <v>4.5999999999999996</v>
      </c>
      <c r="J396">
        <v>88</v>
      </c>
      <c r="K396">
        <v>1</v>
      </c>
      <c r="L396" t="s">
        <v>50</v>
      </c>
    </row>
    <row r="397" spans="1:12">
      <c r="A397" t="s">
        <v>1249</v>
      </c>
      <c r="B397" t="s">
        <v>399</v>
      </c>
      <c r="C397" t="s">
        <v>364</v>
      </c>
      <c r="D397" t="s">
        <v>383</v>
      </c>
      <c r="E397" t="s">
        <v>1250</v>
      </c>
      <c r="G397">
        <v>117328</v>
      </c>
      <c r="H397">
        <v>15556</v>
      </c>
      <c r="I397">
        <v>5</v>
      </c>
      <c r="J397">
        <v>72</v>
      </c>
      <c r="K397">
        <v>3</v>
      </c>
      <c r="L397" t="s">
        <v>50</v>
      </c>
    </row>
    <row r="398" spans="1:12">
      <c r="A398" t="s">
        <v>1251</v>
      </c>
      <c r="B398" t="s">
        <v>374</v>
      </c>
      <c r="C398" t="s">
        <v>4</v>
      </c>
      <c r="D398" t="s">
        <v>437</v>
      </c>
      <c r="E398" t="s">
        <v>1252</v>
      </c>
      <c r="G398">
        <v>451218</v>
      </c>
      <c r="H398">
        <v>2261484</v>
      </c>
      <c r="I398">
        <v>3.3</v>
      </c>
      <c r="J398">
        <v>70</v>
      </c>
      <c r="K398">
        <v>0</v>
      </c>
      <c r="L398" t="s">
        <v>50</v>
      </c>
    </row>
    <row r="399" spans="1:12">
      <c r="A399" t="s">
        <v>1253</v>
      </c>
      <c r="B399" t="s">
        <v>399</v>
      </c>
      <c r="C399" t="s">
        <v>375</v>
      </c>
      <c r="D399" t="s">
        <v>383</v>
      </c>
      <c r="E399" t="s">
        <v>1254</v>
      </c>
      <c r="G399">
        <v>87592</v>
      </c>
      <c r="H399">
        <v>0</v>
      </c>
      <c r="I399">
        <v>3.3</v>
      </c>
      <c r="J399">
        <v>81</v>
      </c>
      <c r="K399">
        <v>0</v>
      </c>
      <c r="L399" t="s">
        <v>50</v>
      </c>
    </row>
    <row r="400" spans="1:12">
      <c r="A400" t="s">
        <v>1255</v>
      </c>
      <c r="B400" t="s">
        <v>374</v>
      </c>
      <c r="C400" t="s">
        <v>382</v>
      </c>
      <c r="D400" t="s">
        <v>378</v>
      </c>
      <c r="E400" t="s">
        <v>1256</v>
      </c>
      <c r="G400">
        <v>356342</v>
      </c>
      <c r="H400">
        <v>0</v>
      </c>
      <c r="I400">
        <v>1.6</v>
      </c>
      <c r="J400">
        <v>55</v>
      </c>
      <c r="K400">
        <v>1</v>
      </c>
      <c r="L400" t="s">
        <v>93</v>
      </c>
    </row>
    <row r="401" spans="1:12">
      <c r="A401" t="s">
        <v>1257</v>
      </c>
      <c r="B401" t="s">
        <v>363</v>
      </c>
      <c r="C401" t="s">
        <v>375</v>
      </c>
      <c r="D401" t="s">
        <v>437</v>
      </c>
      <c r="E401" t="s">
        <v>1149</v>
      </c>
      <c r="G401">
        <v>300048</v>
      </c>
      <c r="H401">
        <v>19508</v>
      </c>
      <c r="I401">
        <v>2</v>
      </c>
      <c r="J401">
        <v>52</v>
      </c>
      <c r="K401">
        <v>3</v>
      </c>
      <c r="L401" t="s">
        <v>50</v>
      </c>
    </row>
    <row r="402" spans="1:12">
      <c r="A402" t="s">
        <v>1258</v>
      </c>
      <c r="B402" t="s">
        <v>374</v>
      </c>
      <c r="C402" t="s">
        <v>375</v>
      </c>
      <c r="D402" t="s">
        <v>369</v>
      </c>
      <c r="E402" t="s">
        <v>1259</v>
      </c>
      <c r="G402">
        <v>138846</v>
      </c>
      <c r="H402">
        <v>0</v>
      </c>
      <c r="I402">
        <v>4.5999999999999996</v>
      </c>
      <c r="J402">
        <v>53</v>
      </c>
      <c r="K402">
        <v>0</v>
      </c>
      <c r="L402" t="s">
        <v>50</v>
      </c>
    </row>
    <row r="403" spans="1:12">
      <c r="A403" t="s">
        <v>1260</v>
      </c>
      <c r="B403" t="s">
        <v>399</v>
      </c>
      <c r="C403" t="s">
        <v>375</v>
      </c>
      <c r="D403" t="s">
        <v>383</v>
      </c>
      <c r="E403" t="s">
        <v>1261</v>
      </c>
      <c r="F403" t="s">
        <v>1262</v>
      </c>
      <c r="G403">
        <v>113188</v>
      </c>
      <c r="H403">
        <v>0</v>
      </c>
      <c r="I403">
        <v>4.5</v>
      </c>
      <c r="J403">
        <v>89</v>
      </c>
      <c r="K403">
        <v>0</v>
      </c>
      <c r="L403" t="s">
        <v>50</v>
      </c>
    </row>
    <row r="404" spans="1:12">
      <c r="A404" t="s">
        <v>1263</v>
      </c>
      <c r="B404" t="s">
        <v>399</v>
      </c>
      <c r="C404" t="s">
        <v>375</v>
      </c>
      <c r="D404" t="s">
        <v>378</v>
      </c>
      <c r="E404" t="s">
        <v>695</v>
      </c>
      <c r="G404">
        <v>395668</v>
      </c>
      <c r="H404">
        <v>0</v>
      </c>
      <c r="I404">
        <v>3.4</v>
      </c>
      <c r="J404">
        <v>46</v>
      </c>
      <c r="K404">
        <v>0</v>
      </c>
      <c r="L404" t="s">
        <v>50</v>
      </c>
    </row>
    <row r="405" spans="1:12">
      <c r="A405" t="s">
        <v>1264</v>
      </c>
      <c r="B405" t="s">
        <v>374</v>
      </c>
      <c r="C405" t="s">
        <v>364</v>
      </c>
      <c r="D405" t="s">
        <v>383</v>
      </c>
      <c r="E405" t="s">
        <v>1265</v>
      </c>
      <c r="G405">
        <v>129490</v>
      </c>
      <c r="H405">
        <v>0</v>
      </c>
      <c r="I405">
        <v>1.5</v>
      </c>
      <c r="J405">
        <v>90</v>
      </c>
      <c r="K405">
        <v>0</v>
      </c>
      <c r="L405" t="s">
        <v>50</v>
      </c>
    </row>
    <row r="406" spans="1:12">
      <c r="A406" t="s">
        <v>1266</v>
      </c>
      <c r="B406" t="s">
        <v>374</v>
      </c>
      <c r="C406" t="s">
        <v>4</v>
      </c>
      <c r="D406" t="s">
        <v>383</v>
      </c>
      <c r="E406" t="s">
        <v>1267</v>
      </c>
      <c r="G406">
        <v>98326</v>
      </c>
      <c r="H406">
        <v>463406</v>
      </c>
      <c r="I406">
        <v>4.8</v>
      </c>
      <c r="J406">
        <v>65</v>
      </c>
      <c r="K406">
        <v>1</v>
      </c>
      <c r="L406" t="s">
        <v>50</v>
      </c>
    </row>
    <row r="407" spans="1:12">
      <c r="A407" t="s">
        <v>1268</v>
      </c>
      <c r="B407" t="s">
        <v>368</v>
      </c>
      <c r="C407" t="s">
        <v>375</v>
      </c>
      <c r="D407" t="s">
        <v>378</v>
      </c>
      <c r="E407" t="s">
        <v>1269</v>
      </c>
      <c r="G407">
        <v>360605</v>
      </c>
      <c r="H407">
        <v>29213</v>
      </c>
      <c r="I407">
        <v>2.7</v>
      </c>
      <c r="J407">
        <v>98</v>
      </c>
      <c r="K407">
        <v>0</v>
      </c>
      <c r="L407" t="s">
        <v>50</v>
      </c>
    </row>
    <row r="408" spans="1:12">
      <c r="A408" t="s">
        <v>1270</v>
      </c>
      <c r="B408" t="s">
        <v>368</v>
      </c>
      <c r="C408" t="s">
        <v>382</v>
      </c>
      <c r="D408" t="s">
        <v>383</v>
      </c>
      <c r="E408" t="s">
        <v>1271</v>
      </c>
      <c r="G408">
        <v>143754</v>
      </c>
      <c r="H408">
        <v>0</v>
      </c>
      <c r="I408">
        <v>2.2000000000000002</v>
      </c>
      <c r="J408">
        <v>43</v>
      </c>
      <c r="K408">
        <v>3</v>
      </c>
      <c r="L408" t="s">
        <v>50</v>
      </c>
    </row>
    <row r="409" spans="1:12">
      <c r="A409" t="s">
        <v>1272</v>
      </c>
      <c r="B409" t="s">
        <v>399</v>
      </c>
      <c r="C409" t="s">
        <v>382</v>
      </c>
      <c r="D409" t="s">
        <v>387</v>
      </c>
      <c r="E409" t="s">
        <v>1273</v>
      </c>
      <c r="G409">
        <v>75646</v>
      </c>
      <c r="H409">
        <v>31558</v>
      </c>
      <c r="I409">
        <v>4.2</v>
      </c>
      <c r="J409">
        <v>86</v>
      </c>
      <c r="K409">
        <v>0</v>
      </c>
      <c r="L409" t="s">
        <v>50</v>
      </c>
    </row>
    <row r="410" spans="1:12">
      <c r="A410" t="s">
        <v>1274</v>
      </c>
      <c r="B410" t="s">
        <v>368</v>
      </c>
      <c r="C410" t="s">
        <v>4</v>
      </c>
      <c r="D410" t="s">
        <v>369</v>
      </c>
      <c r="E410" t="s">
        <v>1275</v>
      </c>
      <c r="G410">
        <v>125886</v>
      </c>
      <c r="H410">
        <v>418294</v>
      </c>
      <c r="I410">
        <v>1.9</v>
      </c>
      <c r="J410">
        <v>97</v>
      </c>
      <c r="K410">
        <v>1</v>
      </c>
      <c r="L410" t="s">
        <v>50</v>
      </c>
    </row>
    <row r="411" spans="1:12">
      <c r="A411" t="s">
        <v>1276</v>
      </c>
      <c r="B411" t="s">
        <v>368</v>
      </c>
      <c r="C411" t="s">
        <v>382</v>
      </c>
      <c r="D411" t="s">
        <v>417</v>
      </c>
      <c r="E411" t="s">
        <v>1277</v>
      </c>
      <c r="G411">
        <v>237470</v>
      </c>
      <c r="H411">
        <v>0</v>
      </c>
      <c r="I411">
        <v>1.2</v>
      </c>
      <c r="J411">
        <v>79</v>
      </c>
      <c r="K411">
        <v>1</v>
      </c>
      <c r="L411" t="s">
        <v>50</v>
      </c>
    </row>
    <row r="412" spans="1:12">
      <c r="A412" t="s">
        <v>1278</v>
      </c>
      <c r="B412" t="s">
        <v>399</v>
      </c>
      <c r="C412" t="s">
        <v>375</v>
      </c>
      <c r="D412" t="s">
        <v>383</v>
      </c>
      <c r="E412" t="s">
        <v>1279</v>
      </c>
      <c r="G412">
        <v>135696</v>
      </c>
      <c r="H412">
        <v>0</v>
      </c>
      <c r="I412">
        <v>1.1000000000000001</v>
      </c>
      <c r="J412">
        <v>63</v>
      </c>
      <c r="K412">
        <v>3</v>
      </c>
      <c r="L412" t="s">
        <v>50</v>
      </c>
    </row>
    <row r="413" spans="1:12">
      <c r="A413" t="s">
        <v>1280</v>
      </c>
      <c r="B413" t="s">
        <v>368</v>
      </c>
      <c r="C413" t="s">
        <v>4</v>
      </c>
      <c r="D413" t="s">
        <v>437</v>
      </c>
      <c r="E413" t="s">
        <v>1281</v>
      </c>
      <c r="G413">
        <v>343692</v>
      </c>
      <c r="H413">
        <v>1921721</v>
      </c>
      <c r="I413">
        <v>3.8</v>
      </c>
      <c r="J413">
        <v>67</v>
      </c>
      <c r="K413">
        <v>0</v>
      </c>
      <c r="L413" t="s">
        <v>50</v>
      </c>
    </row>
    <row r="414" spans="1:12">
      <c r="A414" t="s">
        <v>1282</v>
      </c>
      <c r="B414" t="s">
        <v>374</v>
      </c>
      <c r="C414" t="s">
        <v>364</v>
      </c>
      <c r="D414" t="s">
        <v>369</v>
      </c>
      <c r="E414" t="s">
        <v>1283</v>
      </c>
      <c r="G414">
        <v>219687</v>
      </c>
      <c r="H414">
        <v>0</v>
      </c>
      <c r="I414">
        <v>2.4</v>
      </c>
      <c r="J414">
        <v>92</v>
      </c>
      <c r="K414">
        <v>0</v>
      </c>
      <c r="L414" t="s">
        <v>50</v>
      </c>
    </row>
    <row r="415" spans="1:12">
      <c r="A415" t="s">
        <v>1284</v>
      </c>
      <c r="B415" t="s">
        <v>374</v>
      </c>
      <c r="C415" t="s">
        <v>382</v>
      </c>
      <c r="D415" t="s">
        <v>365</v>
      </c>
      <c r="E415" t="s">
        <v>1285</v>
      </c>
      <c r="G415">
        <v>217808</v>
      </c>
      <c r="H415">
        <v>0</v>
      </c>
      <c r="I415">
        <v>3.4</v>
      </c>
      <c r="J415">
        <v>57</v>
      </c>
      <c r="K415">
        <v>1</v>
      </c>
      <c r="L415" t="s">
        <v>50</v>
      </c>
    </row>
    <row r="416" spans="1:12">
      <c r="A416" t="s">
        <v>1286</v>
      </c>
      <c r="B416" t="s">
        <v>399</v>
      </c>
      <c r="C416" t="s">
        <v>4</v>
      </c>
      <c r="D416" t="s">
        <v>437</v>
      </c>
      <c r="E416" t="s">
        <v>1287</v>
      </c>
      <c r="G416">
        <v>286944</v>
      </c>
      <c r="H416">
        <v>1504576</v>
      </c>
      <c r="I416">
        <v>3.7</v>
      </c>
      <c r="J416">
        <v>59</v>
      </c>
      <c r="K416">
        <v>0</v>
      </c>
      <c r="L416" t="s">
        <v>50</v>
      </c>
    </row>
    <row r="417" spans="1:12">
      <c r="A417" t="s">
        <v>1288</v>
      </c>
      <c r="B417" t="s">
        <v>374</v>
      </c>
      <c r="C417" t="s">
        <v>382</v>
      </c>
      <c r="D417" t="s">
        <v>369</v>
      </c>
      <c r="E417" t="s">
        <v>1289</v>
      </c>
      <c r="G417">
        <v>127530</v>
      </c>
      <c r="H417">
        <v>0</v>
      </c>
      <c r="I417">
        <v>2.5</v>
      </c>
      <c r="J417">
        <v>93</v>
      </c>
      <c r="K417">
        <v>1</v>
      </c>
      <c r="L417" t="s">
        <v>50</v>
      </c>
    </row>
    <row r="418" spans="1:12">
      <c r="A418" t="s">
        <v>1290</v>
      </c>
      <c r="B418" t="s">
        <v>374</v>
      </c>
      <c r="C418" t="s">
        <v>4</v>
      </c>
      <c r="D418" t="s">
        <v>369</v>
      </c>
      <c r="E418" t="s">
        <v>1291</v>
      </c>
      <c r="G418">
        <v>167739</v>
      </c>
      <c r="H418">
        <v>432536</v>
      </c>
      <c r="I418">
        <v>3.8</v>
      </c>
      <c r="J418">
        <v>74</v>
      </c>
      <c r="K418">
        <v>2</v>
      </c>
      <c r="L418" t="s">
        <v>50</v>
      </c>
    </row>
    <row r="419" spans="1:12">
      <c r="A419" t="s">
        <v>1292</v>
      </c>
      <c r="B419" t="s">
        <v>368</v>
      </c>
      <c r="C419" t="s">
        <v>375</v>
      </c>
      <c r="D419" t="s">
        <v>365</v>
      </c>
      <c r="E419" t="s">
        <v>1293</v>
      </c>
      <c r="G419">
        <v>300232</v>
      </c>
      <c r="H419">
        <v>0</v>
      </c>
      <c r="I419">
        <v>1.7</v>
      </c>
      <c r="J419">
        <v>82</v>
      </c>
      <c r="K419">
        <v>3</v>
      </c>
      <c r="L419" t="s">
        <v>50</v>
      </c>
    </row>
    <row r="420" spans="1:12">
      <c r="A420" t="s">
        <v>1294</v>
      </c>
      <c r="B420" t="s">
        <v>368</v>
      </c>
      <c r="C420" t="s">
        <v>382</v>
      </c>
      <c r="D420" t="s">
        <v>369</v>
      </c>
      <c r="E420" t="s">
        <v>1295</v>
      </c>
      <c r="G420">
        <v>130419</v>
      </c>
      <c r="H420">
        <v>44080</v>
      </c>
      <c r="I420">
        <v>3.9</v>
      </c>
      <c r="J420">
        <v>53</v>
      </c>
      <c r="K420">
        <v>0</v>
      </c>
      <c r="L420" t="s">
        <v>50</v>
      </c>
    </row>
    <row r="421" spans="1:12">
      <c r="A421" t="s">
        <v>1296</v>
      </c>
      <c r="B421" t="s">
        <v>368</v>
      </c>
      <c r="C421" t="s">
        <v>4</v>
      </c>
      <c r="D421" t="s">
        <v>369</v>
      </c>
      <c r="E421" t="s">
        <v>1297</v>
      </c>
      <c r="G421">
        <v>182667</v>
      </c>
      <c r="H421">
        <v>1455102</v>
      </c>
      <c r="I421">
        <v>2.2000000000000002</v>
      </c>
      <c r="J421">
        <v>95</v>
      </c>
      <c r="K421">
        <v>0</v>
      </c>
      <c r="L421" t="s">
        <v>50</v>
      </c>
    </row>
    <row r="422" spans="1:12">
      <c r="A422" t="s">
        <v>1298</v>
      </c>
      <c r="B422" t="s">
        <v>368</v>
      </c>
      <c r="C422" t="s">
        <v>364</v>
      </c>
      <c r="D422" t="s">
        <v>378</v>
      </c>
      <c r="E422" t="s">
        <v>1299</v>
      </c>
      <c r="G422">
        <v>456029</v>
      </c>
      <c r="H422">
        <v>21781</v>
      </c>
      <c r="I422">
        <v>1.7</v>
      </c>
      <c r="J422">
        <v>88</v>
      </c>
      <c r="K422">
        <v>0</v>
      </c>
      <c r="L422" t="s">
        <v>50</v>
      </c>
    </row>
    <row r="423" spans="1:12">
      <c r="A423" t="s">
        <v>1300</v>
      </c>
      <c r="B423" t="s">
        <v>374</v>
      </c>
      <c r="C423" t="s">
        <v>4</v>
      </c>
      <c r="D423" t="s">
        <v>378</v>
      </c>
      <c r="E423" t="s">
        <v>1301</v>
      </c>
      <c r="G423">
        <v>551467</v>
      </c>
      <c r="H423">
        <v>1956152</v>
      </c>
      <c r="I423">
        <v>3.8</v>
      </c>
      <c r="J423">
        <v>85</v>
      </c>
      <c r="K423">
        <v>0</v>
      </c>
      <c r="L423" t="s">
        <v>50</v>
      </c>
    </row>
    <row r="424" spans="1:12">
      <c r="A424" t="s">
        <v>1302</v>
      </c>
      <c r="B424" t="s">
        <v>374</v>
      </c>
      <c r="C424" t="s">
        <v>4</v>
      </c>
      <c r="D424" t="s">
        <v>369</v>
      </c>
      <c r="E424" t="s">
        <v>1303</v>
      </c>
      <c r="G424">
        <v>220197</v>
      </c>
      <c r="H424">
        <v>2295361</v>
      </c>
      <c r="I424">
        <v>4.2</v>
      </c>
      <c r="J424">
        <v>43</v>
      </c>
      <c r="K424">
        <v>0</v>
      </c>
      <c r="L424" t="s">
        <v>50</v>
      </c>
    </row>
    <row r="425" spans="1:12">
      <c r="A425" t="s">
        <v>1304</v>
      </c>
      <c r="B425" t="s">
        <v>363</v>
      </c>
      <c r="C425" t="s">
        <v>375</v>
      </c>
      <c r="D425" t="s">
        <v>378</v>
      </c>
      <c r="E425" t="s">
        <v>1305</v>
      </c>
      <c r="G425">
        <v>327026</v>
      </c>
      <c r="H425">
        <v>0</v>
      </c>
      <c r="I425">
        <v>2.5</v>
      </c>
      <c r="J425">
        <v>89</v>
      </c>
      <c r="K425">
        <v>0</v>
      </c>
      <c r="L425" t="s">
        <v>50</v>
      </c>
    </row>
    <row r="426" spans="1:12">
      <c r="A426" t="s">
        <v>1306</v>
      </c>
      <c r="B426" t="s">
        <v>363</v>
      </c>
      <c r="C426" t="s">
        <v>364</v>
      </c>
      <c r="D426" t="s">
        <v>417</v>
      </c>
      <c r="E426" t="s">
        <v>1307</v>
      </c>
      <c r="F426" t="s">
        <v>1308</v>
      </c>
      <c r="G426">
        <v>396470</v>
      </c>
      <c r="H426">
        <v>0</v>
      </c>
      <c r="I426">
        <v>1.2</v>
      </c>
      <c r="J426">
        <v>49</v>
      </c>
      <c r="K426">
        <v>0</v>
      </c>
      <c r="L426" t="s">
        <v>50</v>
      </c>
    </row>
    <row r="427" spans="1:12">
      <c r="A427" t="s">
        <v>1309</v>
      </c>
      <c r="B427" t="s">
        <v>374</v>
      </c>
      <c r="C427" t="s">
        <v>364</v>
      </c>
      <c r="D427" t="s">
        <v>417</v>
      </c>
      <c r="E427" t="s">
        <v>1310</v>
      </c>
      <c r="G427">
        <v>290700</v>
      </c>
      <c r="H427">
        <v>17336</v>
      </c>
      <c r="I427">
        <v>4.3</v>
      </c>
      <c r="J427">
        <v>88</v>
      </c>
      <c r="K427">
        <v>0</v>
      </c>
      <c r="L427" t="s">
        <v>50</v>
      </c>
    </row>
    <row r="428" spans="1:12">
      <c r="A428" t="s">
        <v>1311</v>
      </c>
      <c r="B428" t="s">
        <v>399</v>
      </c>
      <c r="C428" t="s">
        <v>375</v>
      </c>
      <c r="D428" t="s">
        <v>387</v>
      </c>
      <c r="E428" t="s">
        <v>1312</v>
      </c>
      <c r="G428">
        <v>48880</v>
      </c>
      <c r="H428">
        <v>0</v>
      </c>
      <c r="I428">
        <v>4.5</v>
      </c>
      <c r="J428">
        <v>75</v>
      </c>
      <c r="K428">
        <v>0</v>
      </c>
      <c r="L428" t="s">
        <v>93</v>
      </c>
    </row>
    <row r="429" spans="1:12">
      <c r="A429" t="s">
        <v>1313</v>
      </c>
      <c r="B429" t="s">
        <v>399</v>
      </c>
      <c r="C429" t="s">
        <v>382</v>
      </c>
      <c r="D429" t="s">
        <v>383</v>
      </c>
      <c r="E429" t="s">
        <v>1314</v>
      </c>
      <c r="G429">
        <v>80824</v>
      </c>
      <c r="H429">
        <v>0</v>
      </c>
      <c r="I429">
        <v>1.9</v>
      </c>
      <c r="J429">
        <v>87</v>
      </c>
      <c r="K429">
        <v>0</v>
      </c>
      <c r="L429" t="s">
        <v>50</v>
      </c>
    </row>
    <row r="430" spans="1:12">
      <c r="A430" t="s">
        <v>1315</v>
      </c>
      <c r="B430" t="s">
        <v>399</v>
      </c>
      <c r="C430" t="s">
        <v>364</v>
      </c>
      <c r="D430" t="s">
        <v>365</v>
      </c>
      <c r="E430" t="s">
        <v>1316</v>
      </c>
      <c r="G430">
        <v>234908</v>
      </c>
      <c r="H430">
        <v>0</v>
      </c>
      <c r="I430">
        <v>3.3</v>
      </c>
      <c r="J430">
        <v>89</v>
      </c>
      <c r="K430">
        <v>0</v>
      </c>
      <c r="L430" t="s">
        <v>50</v>
      </c>
    </row>
    <row r="431" spans="1:12">
      <c r="A431" t="s">
        <v>1317</v>
      </c>
      <c r="B431" t="s">
        <v>399</v>
      </c>
      <c r="C431" t="s">
        <v>375</v>
      </c>
      <c r="D431" t="s">
        <v>365</v>
      </c>
      <c r="E431" t="s">
        <v>1318</v>
      </c>
      <c r="G431">
        <v>219212</v>
      </c>
      <c r="H431">
        <v>0</v>
      </c>
      <c r="I431">
        <v>1.4</v>
      </c>
      <c r="J431">
        <v>51</v>
      </c>
      <c r="K431">
        <v>3</v>
      </c>
      <c r="L431" t="s">
        <v>50</v>
      </c>
    </row>
    <row r="432" spans="1:12">
      <c r="A432" t="s">
        <v>1319</v>
      </c>
      <c r="B432" t="s">
        <v>368</v>
      </c>
      <c r="C432" t="s">
        <v>382</v>
      </c>
      <c r="D432" t="s">
        <v>437</v>
      </c>
      <c r="E432" t="s">
        <v>1320</v>
      </c>
      <c r="G432">
        <v>374046</v>
      </c>
      <c r="H432">
        <v>0</v>
      </c>
      <c r="I432">
        <v>1.4</v>
      </c>
      <c r="J432">
        <v>44</v>
      </c>
      <c r="K432">
        <v>3</v>
      </c>
      <c r="L432" t="s">
        <v>50</v>
      </c>
    </row>
    <row r="433" spans="1:12">
      <c r="A433" t="s">
        <v>1321</v>
      </c>
      <c r="B433" t="s">
        <v>399</v>
      </c>
      <c r="C433" t="s">
        <v>375</v>
      </c>
      <c r="D433" t="s">
        <v>417</v>
      </c>
      <c r="E433" t="s">
        <v>1322</v>
      </c>
      <c r="G433">
        <v>318750</v>
      </c>
      <c r="H433">
        <v>0</v>
      </c>
      <c r="I433">
        <v>2.8</v>
      </c>
      <c r="J433">
        <v>43</v>
      </c>
      <c r="K433">
        <v>1</v>
      </c>
      <c r="L433" t="s">
        <v>50</v>
      </c>
    </row>
    <row r="434" spans="1:12">
      <c r="A434" t="s">
        <v>1323</v>
      </c>
      <c r="B434" t="s">
        <v>363</v>
      </c>
      <c r="C434" t="s">
        <v>364</v>
      </c>
      <c r="D434" t="s">
        <v>369</v>
      </c>
      <c r="E434" t="s">
        <v>1324</v>
      </c>
      <c r="G434">
        <v>132285</v>
      </c>
      <c r="H434">
        <v>0</v>
      </c>
      <c r="I434">
        <v>3.4</v>
      </c>
      <c r="J434">
        <v>98</v>
      </c>
      <c r="K434">
        <v>3</v>
      </c>
      <c r="L434" t="s">
        <v>50</v>
      </c>
    </row>
    <row r="435" spans="1:12">
      <c r="A435" t="s">
        <v>1325</v>
      </c>
      <c r="B435" t="s">
        <v>368</v>
      </c>
      <c r="C435" t="s">
        <v>382</v>
      </c>
      <c r="D435" t="s">
        <v>378</v>
      </c>
      <c r="E435" t="s">
        <v>1326</v>
      </c>
      <c r="G435">
        <v>334047</v>
      </c>
      <c r="H435">
        <v>0</v>
      </c>
      <c r="I435">
        <v>2.1</v>
      </c>
      <c r="J435">
        <v>40</v>
      </c>
      <c r="K435">
        <v>0</v>
      </c>
      <c r="L435" t="s">
        <v>50</v>
      </c>
    </row>
    <row r="436" spans="1:12">
      <c r="A436" t="s">
        <v>1327</v>
      </c>
      <c r="B436" t="s">
        <v>399</v>
      </c>
      <c r="C436" t="s">
        <v>382</v>
      </c>
      <c r="D436" t="s">
        <v>365</v>
      </c>
      <c r="E436" t="s">
        <v>1328</v>
      </c>
      <c r="F436" t="s">
        <v>1329</v>
      </c>
      <c r="G436">
        <v>168264</v>
      </c>
      <c r="H436">
        <v>0</v>
      </c>
      <c r="I436">
        <v>5</v>
      </c>
      <c r="J436">
        <v>48</v>
      </c>
      <c r="K436">
        <v>0</v>
      </c>
      <c r="L436" t="s">
        <v>50</v>
      </c>
    </row>
    <row r="437" spans="1:12">
      <c r="A437" t="s">
        <v>1330</v>
      </c>
      <c r="B437" t="s">
        <v>374</v>
      </c>
      <c r="C437" t="s">
        <v>375</v>
      </c>
      <c r="D437" t="s">
        <v>417</v>
      </c>
      <c r="E437" t="s">
        <v>1331</v>
      </c>
      <c r="G437">
        <v>349835</v>
      </c>
      <c r="H437">
        <v>0</v>
      </c>
      <c r="I437">
        <v>4.7</v>
      </c>
      <c r="J437">
        <v>58</v>
      </c>
      <c r="K437">
        <v>3</v>
      </c>
      <c r="L437" t="s">
        <v>50</v>
      </c>
    </row>
    <row r="438" spans="1:12">
      <c r="A438" t="s">
        <v>1332</v>
      </c>
      <c r="B438" t="s">
        <v>368</v>
      </c>
      <c r="C438" t="s">
        <v>4</v>
      </c>
      <c r="D438" t="s">
        <v>437</v>
      </c>
      <c r="E438" t="s">
        <v>1333</v>
      </c>
      <c r="G438">
        <v>285300</v>
      </c>
      <c r="H438">
        <v>1729035</v>
      </c>
      <c r="I438">
        <v>3.6</v>
      </c>
      <c r="J438">
        <v>50</v>
      </c>
      <c r="K438">
        <v>0</v>
      </c>
      <c r="L438" t="s">
        <v>50</v>
      </c>
    </row>
    <row r="439" spans="1:12">
      <c r="A439" t="s">
        <v>1334</v>
      </c>
      <c r="B439" t="s">
        <v>368</v>
      </c>
      <c r="C439" t="s">
        <v>382</v>
      </c>
      <c r="D439" t="s">
        <v>437</v>
      </c>
      <c r="E439" t="s">
        <v>1335</v>
      </c>
      <c r="F439" t="s">
        <v>1336</v>
      </c>
      <c r="G439">
        <v>302712</v>
      </c>
      <c r="H439">
        <v>0</v>
      </c>
      <c r="I439">
        <v>1.8</v>
      </c>
      <c r="J439">
        <v>89</v>
      </c>
      <c r="K439">
        <v>0</v>
      </c>
      <c r="L439" t="s">
        <v>50</v>
      </c>
    </row>
    <row r="440" spans="1:12">
      <c r="A440" t="s">
        <v>1337</v>
      </c>
      <c r="B440" t="s">
        <v>363</v>
      </c>
      <c r="C440" t="s">
        <v>375</v>
      </c>
      <c r="D440" t="s">
        <v>437</v>
      </c>
      <c r="E440" t="s">
        <v>1338</v>
      </c>
      <c r="G440">
        <v>439134</v>
      </c>
      <c r="H440">
        <v>0</v>
      </c>
      <c r="I440">
        <v>4.0999999999999996</v>
      </c>
      <c r="J440">
        <v>46</v>
      </c>
      <c r="K440">
        <v>0</v>
      </c>
      <c r="L440" t="s">
        <v>50</v>
      </c>
    </row>
    <row r="441" spans="1:12">
      <c r="A441" t="s">
        <v>1339</v>
      </c>
      <c r="B441" t="s">
        <v>399</v>
      </c>
      <c r="C441" t="s">
        <v>382</v>
      </c>
      <c r="D441" t="s">
        <v>387</v>
      </c>
      <c r="E441" t="s">
        <v>1340</v>
      </c>
      <c r="F441" t="s">
        <v>1341</v>
      </c>
      <c r="G441">
        <v>71548</v>
      </c>
      <c r="H441">
        <v>0</v>
      </c>
      <c r="I441">
        <v>1.9</v>
      </c>
      <c r="J441">
        <v>63</v>
      </c>
      <c r="K441">
        <v>0</v>
      </c>
      <c r="L441" t="s">
        <v>50</v>
      </c>
    </row>
    <row r="442" spans="1:12">
      <c r="A442" t="s">
        <v>1342</v>
      </c>
      <c r="B442" t="s">
        <v>368</v>
      </c>
      <c r="C442" t="s">
        <v>375</v>
      </c>
      <c r="D442" t="s">
        <v>417</v>
      </c>
      <c r="E442" t="s">
        <v>1343</v>
      </c>
      <c r="F442" t="s">
        <v>1344</v>
      </c>
      <c r="G442">
        <v>275450</v>
      </c>
      <c r="H442">
        <v>0</v>
      </c>
      <c r="I442">
        <v>1.4</v>
      </c>
      <c r="J442">
        <v>98</v>
      </c>
      <c r="K442">
        <v>0</v>
      </c>
      <c r="L442" t="s">
        <v>50</v>
      </c>
    </row>
    <row r="443" spans="1:12">
      <c r="A443" t="s">
        <v>1345</v>
      </c>
      <c r="B443" t="s">
        <v>374</v>
      </c>
      <c r="C443" t="s">
        <v>4</v>
      </c>
      <c r="D443" t="s">
        <v>378</v>
      </c>
      <c r="E443" t="s">
        <v>1346</v>
      </c>
      <c r="G443">
        <v>416451</v>
      </c>
      <c r="H443">
        <v>1666877</v>
      </c>
      <c r="I443">
        <v>1</v>
      </c>
      <c r="J443">
        <v>84</v>
      </c>
      <c r="K443">
        <v>0</v>
      </c>
      <c r="L443" t="s">
        <v>50</v>
      </c>
    </row>
    <row r="444" spans="1:12">
      <c r="A444" t="s">
        <v>1347</v>
      </c>
      <c r="B444" t="s">
        <v>363</v>
      </c>
      <c r="C444" t="s">
        <v>375</v>
      </c>
      <c r="D444" t="s">
        <v>437</v>
      </c>
      <c r="E444" t="s">
        <v>1348</v>
      </c>
      <c r="G444">
        <v>267012</v>
      </c>
      <c r="H444">
        <v>0</v>
      </c>
      <c r="I444">
        <v>1.1000000000000001</v>
      </c>
      <c r="J444">
        <v>40</v>
      </c>
      <c r="K444">
        <v>3</v>
      </c>
      <c r="L444" t="s">
        <v>50</v>
      </c>
    </row>
    <row r="445" spans="1:12">
      <c r="A445" t="s">
        <v>1349</v>
      </c>
      <c r="B445" t="s">
        <v>374</v>
      </c>
      <c r="C445" t="s">
        <v>364</v>
      </c>
      <c r="D445" t="s">
        <v>378</v>
      </c>
      <c r="E445" t="s">
        <v>1350</v>
      </c>
      <c r="G445">
        <v>478576</v>
      </c>
      <c r="H445">
        <v>0</v>
      </c>
      <c r="I445">
        <v>4.8</v>
      </c>
      <c r="J445">
        <v>84</v>
      </c>
      <c r="K445">
        <v>1</v>
      </c>
      <c r="L445" t="s">
        <v>50</v>
      </c>
    </row>
    <row r="446" spans="1:12">
      <c r="A446" t="s">
        <v>1351</v>
      </c>
      <c r="B446" t="s">
        <v>374</v>
      </c>
      <c r="C446" t="s">
        <v>382</v>
      </c>
      <c r="D446" t="s">
        <v>378</v>
      </c>
      <c r="E446" t="s">
        <v>1352</v>
      </c>
      <c r="F446" t="s">
        <v>1353</v>
      </c>
      <c r="G446">
        <v>549885</v>
      </c>
      <c r="H446">
        <v>0</v>
      </c>
      <c r="I446">
        <v>2.2999999999999998</v>
      </c>
      <c r="J446">
        <v>43</v>
      </c>
      <c r="K446">
        <v>1</v>
      </c>
      <c r="L446" t="s">
        <v>50</v>
      </c>
    </row>
    <row r="447" spans="1:12">
      <c r="A447" t="s">
        <v>1354</v>
      </c>
      <c r="B447" t="s">
        <v>399</v>
      </c>
      <c r="C447" t="s">
        <v>375</v>
      </c>
      <c r="D447" t="s">
        <v>383</v>
      </c>
      <c r="E447" t="s">
        <v>661</v>
      </c>
      <c r="F447" t="s">
        <v>1355</v>
      </c>
      <c r="G447">
        <v>140002</v>
      </c>
      <c r="H447">
        <v>0</v>
      </c>
      <c r="I447">
        <v>3.2</v>
      </c>
      <c r="J447">
        <v>71</v>
      </c>
      <c r="K447">
        <v>0</v>
      </c>
      <c r="L447" t="s">
        <v>50</v>
      </c>
    </row>
    <row r="448" spans="1:12">
      <c r="A448" t="s">
        <v>1356</v>
      </c>
      <c r="B448" t="s">
        <v>368</v>
      </c>
      <c r="C448" t="s">
        <v>375</v>
      </c>
      <c r="D448" t="s">
        <v>417</v>
      </c>
      <c r="E448" t="s">
        <v>1357</v>
      </c>
      <c r="G448">
        <v>270865</v>
      </c>
      <c r="H448">
        <v>0</v>
      </c>
      <c r="I448">
        <v>1.3</v>
      </c>
      <c r="J448">
        <v>80</v>
      </c>
      <c r="K448">
        <v>3</v>
      </c>
      <c r="L448" t="s">
        <v>50</v>
      </c>
    </row>
    <row r="449" spans="1:12">
      <c r="A449" t="s">
        <v>1358</v>
      </c>
      <c r="B449" t="s">
        <v>368</v>
      </c>
      <c r="C449" t="s">
        <v>382</v>
      </c>
      <c r="D449" t="s">
        <v>383</v>
      </c>
      <c r="E449" t="s">
        <v>1359</v>
      </c>
      <c r="G449">
        <v>156770</v>
      </c>
      <c r="H449">
        <v>0</v>
      </c>
      <c r="I449">
        <v>4.8</v>
      </c>
      <c r="J449">
        <v>53</v>
      </c>
      <c r="K449">
        <v>2</v>
      </c>
      <c r="L449" t="s">
        <v>50</v>
      </c>
    </row>
    <row r="450" spans="1:12">
      <c r="A450" t="s">
        <v>1360</v>
      </c>
      <c r="B450" t="s">
        <v>374</v>
      </c>
      <c r="C450" t="s">
        <v>364</v>
      </c>
      <c r="D450" t="s">
        <v>437</v>
      </c>
      <c r="E450" t="s">
        <v>1361</v>
      </c>
      <c r="G450">
        <v>442992</v>
      </c>
      <c r="H450">
        <v>0</v>
      </c>
      <c r="I450">
        <v>3</v>
      </c>
      <c r="J450">
        <v>66</v>
      </c>
      <c r="K450">
        <v>0</v>
      </c>
      <c r="L450" t="s">
        <v>50</v>
      </c>
    </row>
    <row r="451" spans="1:12">
      <c r="A451" t="s">
        <v>1362</v>
      </c>
      <c r="B451" t="s">
        <v>368</v>
      </c>
      <c r="C451" t="s">
        <v>364</v>
      </c>
      <c r="D451" t="s">
        <v>387</v>
      </c>
      <c r="E451" t="s">
        <v>1363</v>
      </c>
      <c r="G451">
        <v>60572</v>
      </c>
      <c r="H451">
        <v>0</v>
      </c>
      <c r="I451">
        <v>2.4</v>
      </c>
      <c r="J451">
        <v>59</v>
      </c>
      <c r="K451">
        <v>1</v>
      </c>
      <c r="L451" t="s">
        <v>50</v>
      </c>
    </row>
    <row r="452" spans="1:12">
      <c r="A452" t="s">
        <v>1364</v>
      </c>
      <c r="B452" t="s">
        <v>374</v>
      </c>
      <c r="C452" t="s">
        <v>364</v>
      </c>
      <c r="D452" t="s">
        <v>417</v>
      </c>
      <c r="E452" t="s">
        <v>1365</v>
      </c>
      <c r="G452">
        <v>308620</v>
      </c>
      <c r="H452">
        <v>0</v>
      </c>
      <c r="I452">
        <v>4.8</v>
      </c>
      <c r="J452">
        <v>58</v>
      </c>
      <c r="K452">
        <v>1</v>
      </c>
      <c r="L452" t="s">
        <v>50</v>
      </c>
    </row>
    <row r="453" spans="1:12">
      <c r="A453" t="s">
        <v>1366</v>
      </c>
      <c r="B453" t="s">
        <v>368</v>
      </c>
      <c r="C453" t="s">
        <v>375</v>
      </c>
      <c r="D453" t="s">
        <v>378</v>
      </c>
      <c r="E453" t="s">
        <v>1367</v>
      </c>
      <c r="G453">
        <v>312081</v>
      </c>
      <c r="H453">
        <v>0</v>
      </c>
      <c r="I453">
        <v>2.7</v>
      </c>
      <c r="J453">
        <v>83</v>
      </c>
      <c r="K453">
        <v>0</v>
      </c>
      <c r="L453" t="s">
        <v>50</v>
      </c>
    </row>
    <row r="454" spans="1:12">
      <c r="A454" t="s">
        <v>1368</v>
      </c>
      <c r="B454" t="s">
        <v>363</v>
      </c>
      <c r="C454" t="s">
        <v>364</v>
      </c>
      <c r="D454" t="s">
        <v>369</v>
      </c>
      <c r="E454" t="s">
        <v>1369</v>
      </c>
      <c r="G454">
        <v>162021</v>
      </c>
      <c r="H454">
        <v>0</v>
      </c>
      <c r="I454">
        <v>2.9</v>
      </c>
      <c r="J454">
        <v>67</v>
      </c>
      <c r="K454">
        <v>0</v>
      </c>
      <c r="L454" t="s">
        <v>50</v>
      </c>
    </row>
    <row r="455" spans="1:12">
      <c r="A455" t="s">
        <v>1370</v>
      </c>
      <c r="B455" t="s">
        <v>399</v>
      </c>
      <c r="C455" t="s">
        <v>4</v>
      </c>
      <c r="D455" t="s">
        <v>369</v>
      </c>
      <c r="E455" t="s">
        <v>1001</v>
      </c>
      <c r="G455">
        <v>231825</v>
      </c>
      <c r="H455">
        <v>918607</v>
      </c>
      <c r="I455">
        <v>3.4</v>
      </c>
      <c r="J455">
        <v>97</v>
      </c>
      <c r="K455">
        <v>3</v>
      </c>
      <c r="L455" t="s">
        <v>50</v>
      </c>
    </row>
    <row r="456" spans="1:12">
      <c r="A456" t="s">
        <v>1371</v>
      </c>
      <c r="B456" t="s">
        <v>363</v>
      </c>
      <c r="C456" t="s">
        <v>4</v>
      </c>
      <c r="D456" t="s">
        <v>387</v>
      </c>
      <c r="E456" t="s">
        <v>1372</v>
      </c>
      <c r="G456">
        <v>58457</v>
      </c>
      <c r="H456">
        <v>2011987</v>
      </c>
      <c r="I456">
        <v>4.2</v>
      </c>
      <c r="J456">
        <v>100</v>
      </c>
      <c r="K456">
        <v>0</v>
      </c>
      <c r="L456" t="s">
        <v>50</v>
      </c>
    </row>
    <row r="457" spans="1:12">
      <c r="A457" t="s">
        <v>1373</v>
      </c>
      <c r="B457" t="s">
        <v>368</v>
      </c>
      <c r="C457" t="s">
        <v>382</v>
      </c>
      <c r="D457" t="s">
        <v>365</v>
      </c>
      <c r="E457" t="s">
        <v>1374</v>
      </c>
      <c r="F457" t="s">
        <v>1375</v>
      </c>
      <c r="G457">
        <v>250188</v>
      </c>
      <c r="H457">
        <v>0</v>
      </c>
      <c r="I457">
        <v>1.3</v>
      </c>
      <c r="J457">
        <v>47</v>
      </c>
      <c r="K457">
        <v>1</v>
      </c>
      <c r="L457" t="s">
        <v>50</v>
      </c>
    </row>
    <row r="458" spans="1:12">
      <c r="A458" t="s">
        <v>1376</v>
      </c>
      <c r="B458" t="s">
        <v>374</v>
      </c>
      <c r="C458" t="s">
        <v>382</v>
      </c>
      <c r="D458" t="s">
        <v>437</v>
      </c>
      <c r="E458" t="s">
        <v>1377</v>
      </c>
      <c r="G458">
        <v>338586</v>
      </c>
      <c r="H458">
        <v>0</v>
      </c>
      <c r="I458">
        <v>3.2</v>
      </c>
      <c r="J458">
        <v>79</v>
      </c>
      <c r="K458">
        <v>0</v>
      </c>
      <c r="L458" t="s">
        <v>50</v>
      </c>
    </row>
    <row r="459" spans="1:12">
      <c r="A459" t="s">
        <v>1378</v>
      </c>
      <c r="B459" t="s">
        <v>368</v>
      </c>
      <c r="C459" t="s">
        <v>364</v>
      </c>
      <c r="D459" t="s">
        <v>383</v>
      </c>
      <c r="E459" t="s">
        <v>1379</v>
      </c>
      <c r="G459">
        <v>108660</v>
      </c>
      <c r="H459">
        <v>0</v>
      </c>
      <c r="I459">
        <v>5</v>
      </c>
      <c r="J459">
        <v>80</v>
      </c>
      <c r="K459">
        <v>0</v>
      </c>
      <c r="L459" t="s">
        <v>93</v>
      </c>
    </row>
    <row r="460" spans="1:12">
      <c r="A460" t="s">
        <v>1380</v>
      </c>
      <c r="B460" t="s">
        <v>363</v>
      </c>
      <c r="C460" t="s">
        <v>382</v>
      </c>
      <c r="D460" t="s">
        <v>369</v>
      </c>
      <c r="E460" t="s">
        <v>826</v>
      </c>
      <c r="G460">
        <v>183294</v>
      </c>
      <c r="H460">
        <v>0</v>
      </c>
      <c r="I460">
        <v>4.3</v>
      </c>
      <c r="J460">
        <v>60</v>
      </c>
      <c r="K460">
        <v>1</v>
      </c>
      <c r="L460" t="s">
        <v>50</v>
      </c>
    </row>
    <row r="461" spans="1:12">
      <c r="A461" t="s">
        <v>1381</v>
      </c>
      <c r="B461" t="s">
        <v>368</v>
      </c>
      <c r="C461" t="s">
        <v>382</v>
      </c>
      <c r="D461" t="s">
        <v>417</v>
      </c>
      <c r="E461" t="s">
        <v>1382</v>
      </c>
      <c r="G461">
        <v>253145</v>
      </c>
      <c r="H461">
        <v>0</v>
      </c>
      <c r="I461">
        <v>1.2</v>
      </c>
      <c r="J461">
        <v>92</v>
      </c>
      <c r="K461">
        <v>1</v>
      </c>
      <c r="L461" t="s">
        <v>93</v>
      </c>
    </row>
    <row r="462" spans="1:12">
      <c r="A462" t="s">
        <v>1383</v>
      </c>
      <c r="B462" t="s">
        <v>363</v>
      </c>
      <c r="C462" t="s">
        <v>364</v>
      </c>
      <c r="D462" t="s">
        <v>437</v>
      </c>
      <c r="E462" t="s">
        <v>1384</v>
      </c>
      <c r="G462">
        <v>459432</v>
      </c>
      <c r="H462">
        <v>38391</v>
      </c>
      <c r="I462">
        <v>4.8</v>
      </c>
      <c r="J462">
        <v>63</v>
      </c>
      <c r="K462">
        <v>0</v>
      </c>
      <c r="L462" t="s">
        <v>50</v>
      </c>
    </row>
    <row r="463" spans="1:12">
      <c r="A463" t="s">
        <v>1385</v>
      </c>
      <c r="B463" t="s">
        <v>374</v>
      </c>
      <c r="C463" t="s">
        <v>4</v>
      </c>
      <c r="D463" t="s">
        <v>437</v>
      </c>
      <c r="E463" t="s">
        <v>1386</v>
      </c>
      <c r="G463">
        <v>282714</v>
      </c>
      <c r="H463">
        <v>792881</v>
      </c>
      <c r="I463">
        <v>2.8</v>
      </c>
      <c r="J463">
        <v>54</v>
      </c>
      <c r="K463">
        <v>1</v>
      </c>
      <c r="L463" t="s">
        <v>50</v>
      </c>
    </row>
    <row r="464" spans="1:12">
      <c r="A464" t="s">
        <v>1387</v>
      </c>
      <c r="B464" t="s">
        <v>363</v>
      </c>
      <c r="C464" t="s">
        <v>375</v>
      </c>
      <c r="D464" t="s">
        <v>378</v>
      </c>
      <c r="E464" t="s">
        <v>1388</v>
      </c>
      <c r="G464">
        <v>386918</v>
      </c>
      <c r="H464">
        <v>0</v>
      </c>
      <c r="I464">
        <v>2.4</v>
      </c>
      <c r="J464">
        <v>89</v>
      </c>
      <c r="K464">
        <v>0</v>
      </c>
      <c r="L464" t="s">
        <v>50</v>
      </c>
    </row>
    <row r="465" spans="1:12">
      <c r="A465" t="s">
        <v>1389</v>
      </c>
      <c r="B465" t="s">
        <v>374</v>
      </c>
      <c r="C465" t="s">
        <v>364</v>
      </c>
      <c r="D465" t="s">
        <v>383</v>
      </c>
      <c r="E465" t="s">
        <v>1390</v>
      </c>
      <c r="F465" t="s">
        <v>1391</v>
      </c>
      <c r="G465">
        <v>104708</v>
      </c>
      <c r="H465">
        <v>0</v>
      </c>
      <c r="I465">
        <v>2.8</v>
      </c>
      <c r="J465">
        <v>70</v>
      </c>
      <c r="K465">
        <v>0</v>
      </c>
      <c r="L465" t="s">
        <v>50</v>
      </c>
    </row>
    <row r="466" spans="1:12">
      <c r="A466" t="s">
        <v>1392</v>
      </c>
      <c r="B466" t="s">
        <v>399</v>
      </c>
      <c r="C466" t="s">
        <v>375</v>
      </c>
      <c r="D466" t="s">
        <v>365</v>
      </c>
      <c r="E466" t="s">
        <v>1393</v>
      </c>
      <c r="G466">
        <v>222644</v>
      </c>
      <c r="H466">
        <v>0</v>
      </c>
      <c r="I466">
        <v>1.5</v>
      </c>
      <c r="J466">
        <v>96</v>
      </c>
      <c r="K466">
        <v>0</v>
      </c>
      <c r="L466" t="s">
        <v>50</v>
      </c>
    </row>
    <row r="467" spans="1:12">
      <c r="A467" t="s">
        <v>1394</v>
      </c>
      <c r="B467" t="s">
        <v>363</v>
      </c>
      <c r="C467" t="s">
        <v>4</v>
      </c>
      <c r="D467" t="s">
        <v>378</v>
      </c>
      <c r="E467" t="s">
        <v>1395</v>
      </c>
      <c r="G467">
        <v>379071</v>
      </c>
      <c r="H467">
        <v>368255</v>
      </c>
      <c r="I467">
        <v>3</v>
      </c>
      <c r="J467">
        <v>97</v>
      </c>
      <c r="K467">
        <v>3</v>
      </c>
      <c r="L467" t="s">
        <v>50</v>
      </c>
    </row>
    <row r="468" spans="1:12">
      <c r="A468" t="s">
        <v>1396</v>
      </c>
      <c r="B468" t="s">
        <v>374</v>
      </c>
      <c r="C468" t="s">
        <v>364</v>
      </c>
      <c r="D468" t="s">
        <v>369</v>
      </c>
      <c r="E468" t="s">
        <v>1397</v>
      </c>
      <c r="G468">
        <v>194151</v>
      </c>
      <c r="H468">
        <v>0</v>
      </c>
      <c r="I468">
        <v>4.2</v>
      </c>
      <c r="J468">
        <v>75</v>
      </c>
      <c r="K468">
        <v>0</v>
      </c>
      <c r="L468" t="s">
        <v>50</v>
      </c>
    </row>
    <row r="469" spans="1:12">
      <c r="A469" t="s">
        <v>1398</v>
      </c>
      <c r="B469" t="s">
        <v>374</v>
      </c>
      <c r="C469" t="s">
        <v>375</v>
      </c>
      <c r="D469" t="s">
        <v>437</v>
      </c>
      <c r="E469" t="s">
        <v>1399</v>
      </c>
      <c r="G469">
        <v>383166</v>
      </c>
      <c r="H469">
        <v>0</v>
      </c>
      <c r="I469">
        <v>4.2</v>
      </c>
      <c r="J469">
        <v>93</v>
      </c>
      <c r="K469">
        <v>3</v>
      </c>
      <c r="L469" t="s">
        <v>50</v>
      </c>
    </row>
    <row r="470" spans="1:12">
      <c r="A470" t="s">
        <v>1400</v>
      </c>
      <c r="B470" t="s">
        <v>399</v>
      </c>
      <c r="C470" t="s">
        <v>4</v>
      </c>
      <c r="D470" t="s">
        <v>437</v>
      </c>
      <c r="E470" t="s">
        <v>1401</v>
      </c>
      <c r="G470">
        <v>433980</v>
      </c>
      <c r="H470">
        <v>2333035</v>
      </c>
      <c r="I470">
        <v>3.5</v>
      </c>
      <c r="J470">
        <v>93</v>
      </c>
      <c r="K470">
        <v>3</v>
      </c>
      <c r="L470" t="s">
        <v>50</v>
      </c>
    </row>
    <row r="471" spans="1:12">
      <c r="A471" t="s">
        <v>1402</v>
      </c>
      <c r="B471" t="s">
        <v>368</v>
      </c>
      <c r="C471" t="s">
        <v>4</v>
      </c>
      <c r="D471" t="s">
        <v>417</v>
      </c>
      <c r="E471" t="s">
        <v>1403</v>
      </c>
      <c r="G471">
        <v>378135</v>
      </c>
      <c r="H471">
        <v>1664739</v>
      </c>
      <c r="I471">
        <v>4.5</v>
      </c>
      <c r="J471">
        <v>95</v>
      </c>
      <c r="K471">
        <v>1</v>
      </c>
      <c r="L471" t="s">
        <v>50</v>
      </c>
    </row>
    <row r="472" spans="1:12">
      <c r="A472" t="s">
        <v>1404</v>
      </c>
      <c r="B472" t="s">
        <v>368</v>
      </c>
      <c r="C472" t="s">
        <v>364</v>
      </c>
      <c r="D472" t="s">
        <v>369</v>
      </c>
      <c r="E472" t="s">
        <v>1405</v>
      </c>
      <c r="G472">
        <v>238644</v>
      </c>
      <c r="H472">
        <v>0</v>
      </c>
      <c r="I472">
        <v>1.3</v>
      </c>
      <c r="J472">
        <v>95</v>
      </c>
      <c r="K472">
        <v>0</v>
      </c>
      <c r="L472" t="s">
        <v>50</v>
      </c>
    </row>
    <row r="473" spans="1:12">
      <c r="A473" t="s">
        <v>1406</v>
      </c>
      <c r="B473" t="s">
        <v>363</v>
      </c>
      <c r="C473" t="s">
        <v>364</v>
      </c>
      <c r="D473" t="s">
        <v>365</v>
      </c>
      <c r="E473" t="s">
        <v>1407</v>
      </c>
      <c r="G473">
        <v>173592</v>
      </c>
      <c r="H473">
        <v>0</v>
      </c>
      <c r="I473">
        <v>2.1</v>
      </c>
      <c r="J473">
        <v>74</v>
      </c>
      <c r="K473">
        <v>0</v>
      </c>
      <c r="L473" t="s">
        <v>50</v>
      </c>
    </row>
    <row r="474" spans="1:12">
      <c r="A474" t="s">
        <v>1408</v>
      </c>
      <c r="B474" t="s">
        <v>374</v>
      </c>
      <c r="C474" t="s">
        <v>364</v>
      </c>
      <c r="D474" t="s">
        <v>369</v>
      </c>
      <c r="E474" t="s">
        <v>1409</v>
      </c>
      <c r="F474" t="s">
        <v>1410</v>
      </c>
      <c r="G474">
        <v>230139</v>
      </c>
      <c r="H474">
        <v>0</v>
      </c>
      <c r="I474">
        <v>1.5</v>
      </c>
      <c r="J474">
        <v>83</v>
      </c>
      <c r="K474">
        <v>0</v>
      </c>
      <c r="L474" t="s">
        <v>50</v>
      </c>
    </row>
    <row r="475" spans="1:12">
      <c r="A475" t="s">
        <v>1411</v>
      </c>
      <c r="B475" t="s">
        <v>363</v>
      </c>
      <c r="C475" t="s">
        <v>382</v>
      </c>
      <c r="D475" t="s">
        <v>417</v>
      </c>
      <c r="E475" t="s">
        <v>1412</v>
      </c>
      <c r="G475">
        <v>395010</v>
      </c>
      <c r="H475">
        <v>0</v>
      </c>
      <c r="I475">
        <v>2.5</v>
      </c>
      <c r="J475">
        <v>97</v>
      </c>
      <c r="K475">
        <v>1</v>
      </c>
      <c r="L475" t="s">
        <v>50</v>
      </c>
    </row>
    <row r="476" spans="1:12">
      <c r="A476" t="s">
        <v>1413</v>
      </c>
      <c r="B476" t="s">
        <v>399</v>
      </c>
      <c r="C476" t="s">
        <v>4</v>
      </c>
      <c r="D476" t="s">
        <v>383</v>
      </c>
      <c r="E476" t="s">
        <v>1414</v>
      </c>
      <c r="G476">
        <v>113628</v>
      </c>
      <c r="H476">
        <v>976156</v>
      </c>
      <c r="I476">
        <v>3.7</v>
      </c>
      <c r="J476">
        <v>60</v>
      </c>
      <c r="K476">
        <v>0</v>
      </c>
      <c r="L476" t="s">
        <v>50</v>
      </c>
    </row>
    <row r="477" spans="1:12">
      <c r="A477" t="s">
        <v>1415</v>
      </c>
      <c r="B477" t="s">
        <v>374</v>
      </c>
      <c r="C477" t="s">
        <v>4</v>
      </c>
      <c r="D477" t="s">
        <v>383</v>
      </c>
      <c r="E477" t="s">
        <v>1416</v>
      </c>
      <c r="G477">
        <v>135614</v>
      </c>
      <c r="H477">
        <v>1334239</v>
      </c>
      <c r="I477">
        <v>2.2000000000000002</v>
      </c>
      <c r="J477">
        <v>99</v>
      </c>
      <c r="K477">
        <v>0</v>
      </c>
      <c r="L477" t="s">
        <v>50</v>
      </c>
    </row>
    <row r="478" spans="1:12">
      <c r="A478" t="s">
        <v>1417</v>
      </c>
      <c r="B478" t="s">
        <v>363</v>
      </c>
      <c r="C478" t="s">
        <v>364</v>
      </c>
      <c r="D478" t="s">
        <v>378</v>
      </c>
      <c r="E478" t="s">
        <v>1418</v>
      </c>
      <c r="G478">
        <v>492520</v>
      </c>
      <c r="H478">
        <v>46858</v>
      </c>
      <c r="I478">
        <v>1.6</v>
      </c>
      <c r="J478">
        <v>42</v>
      </c>
      <c r="K478">
        <v>1</v>
      </c>
      <c r="L478" t="s">
        <v>50</v>
      </c>
    </row>
    <row r="479" spans="1:12">
      <c r="A479" t="s">
        <v>1419</v>
      </c>
      <c r="B479" t="s">
        <v>368</v>
      </c>
      <c r="C479" t="s">
        <v>4</v>
      </c>
      <c r="D479" t="s">
        <v>369</v>
      </c>
      <c r="E479" t="s">
        <v>1420</v>
      </c>
      <c r="G479">
        <v>200457</v>
      </c>
      <c r="H479">
        <v>337199</v>
      </c>
      <c r="I479">
        <v>4.8</v>
      </c>
      <c r="J479">
        <v>82</v>
      </c>
      <c r="K479">
        <v>3</v>
      </c>
      <c r="L479" t="s">
        <v>50</v>
      </c>
    </row>
    <row r="480" spans="1:12">
      <c r="A480" t="s">
        <v>1421</v>
      </c>
      <c r="B480" t="s">
        <v>368</v>
      </c>
      <c r="C480" t="s">
        <v>375</v>
      </c>
      <c r="D480" t="s">
        <v>378</v>
      </c>
      <c r="E480" t="s">
        <v>1422</v>
      </c>
      <c r="G480">
        <v>504812</v>
      </c>
      <c r="H480">
        <v>13154</v>
      </c>
      <c r="I480">
        <v>4.5999999999999996</v>
      </c>
      <c r="J480">
        <v>47</v>
      </c>
      <c r="K480">
        <v>0</v>
      </c>
      <c r="L480" t="s">
        <v>50</v>
      </c>
    </row>
    <row r="481" spans="1:12">
      <c r="A481" t="s">
        <v>1423</v>
      </c>
      <c r="B481" t="s">
        <v>368</v>
      </c>
      <c r="C481" t="s">
        <v>375</v>
      </c>
      <c r="D481" t="s">
        <v>437</v>
      </c>
      <c r="E481" t="s">
        <v>1424</v>
      </c>
      <c r="G481">
        <v>383664</v>
      </c>
      <c r="H481">
        <v>0</v>
      </c>
      <c r="I481">
        <v>1.3</v>
      </c>
      <c r="J481">
        <v>98</v>
      </c>
      <c r="K481">
        <v>0</v>
      </c>
      <c r="L481" t="s">
        <v>50</v>
      </c>
    </row>
    <row r="482" spans="1:12">
      <c r="A482" t="s">
        <v>1425</v>
      </c>
      <c r="B482" t="s">
        <v>368</v>
      </c>
      <c r="C482" t="s">
        <v>375</v>
      </c>
      <c r="D482" t="s">
        <v>387</v>
      </c>
      <c r="E482" t="s">
        <v>1426</v>
      </c>
      <c r="G482">
        <v>75242</v>
      </c>
      <c r="H482">
        <v>30239</v>
      </c>
      <c r="I482">
        <v>3.8</v>
      </c>
      <c r="J482">
        <v>48</v>
      </c>
      <c r="K482">
        <v>1</v>
      </c>
      <c r="L482" t="s">
        <v>50</v>
      </c>
    </row>
    <row r="483" spans="1:12">
      <c r="A483" t="s">
        <v>1427</v>
      </c>
      <c r="B483" t="s">
        <v>399</v>
      </c>
      <c r="C483" t="s">
        <v>4</v>
      </c>
      <c r="D483" t="s">
        <v>365</v>
      </c>
      <c r="E483" t="s">
        <v>1428</v>
      </c>
      <c r="G483">
        <v>184992</v>
      </c>
      <c r="H483">
        <v>2404322</v>
      </c>
      <c r="I483">
        <v>2.2000000000000002</v>
      </c>
      <c r="J483">
        <v>61</v>
      </c>
      <c r="K483">
        <v>3</v>
      </c>
      <c r="L483" t="s">
        <v>93</v>
      </c>
    </row>
    <row r="484" spans="1:12">
      <c r="A484" t="s">
        <v>1429</v>
      </c>
      <c r="B484" t="s">
        <v>363</v>
      </c>
      <c r="C484" t="s">
        <v>375</v>
      </c>
      <c r="D484" t="s">
        <v>387</v>
      </c>
      <c r="E484" t="s">
        <v>1430</v>
      </c>
      <c r="G484">
        <v>61870</v>
      </c>
      <c r="H484">
        <v>47501</v>
      </c>
      <c r="I484">
        <v>4.4000000000000004</v>
      </c>
      <c r="J484">
        <v>70</v>
      </c>
      <c r="K484">
        <v>2</v>
      </c>
      <c r="L484" t="s">
        <v>50</v>
      </c>
    </row>
    <row r="485" spans="1:12">
      <c r="A485" t="s">
        <v>1431</v>
      </c>
      <c r="B485" t="s">
        <v>374</v>
      </c>
      <c r="C485" t="s">
        <v>375</v>
      </c>
      <c r="D485" t="s">
        <v>387</v>
      </c>
      <c r="E485" t="s">
        <v>1432</v>
      </c>
      <c r="F485" t="s">
        <v>1433</v>
      </c>
      <c r="G485">
        <v>69540</v>
      </c>
      <c r="H485">
        <v>0</v>
      </c>
      <c r="I485">
        <v>3.5</v>
      </c>
      <c r="J485">
        <v>40</v>
      </c>
      <c r="K485">
        <v>3</v>
      </c>
      <c r="L485" t="s">
        <v>50</v>
      </c>
    </row>
    <row r="486" spans="1:12">
      <c r="A486" t="s">
        <v>1434</v>
      </c>
      <c r="B486" t="s">
        <v>374</v>
      </c>
      <c r="C486" t="s">
        <v>364</v>
      </c>
      <c r="D486" t="s">
        <v>437</v>
      </c>
      <c r="E486" t="s">
        <v>484</v>
      </c>
      <c r="G486">
        <v>255132</v>
      </c>
      <c r="H486">
        <v>22056</v>
      </c>
      <c r="I486">
        <v>3</v>
      </c>
      <c r="J486">
        <v>89</v>
      </c>
      <c r="K486">
        <v>0</v>
      </c>
      <c r="L486" t="s">
        <v>50</v>
      </c>
    </row>
    <row r="487" spans="1:12">
      <c r="A487" t="s">
        <v>1435</v>
      </c>
      <c r="B487" t="s">
        <v>374</v>
      </c>
      <c r="C487" t="s">
        <v>4</v>
      </c>
      <c r="D487" t="s">
        <v>437</v>
      </c>
      <c r="E487" t="s">
        <v>1436</v>
      </c>
      <c r="G487">
        <v>435474</v>
      </c>
      <c r="H487">
        <v>1772298</v>
      </c>
      <c r="I487">
        <v>4.3</v>
      </c>
      <c r="J487">
        <v>50</v>
      </c>
      <c r="K487">
        <v>0</v>
      </c>
      <c r="L487" t="s">
        <v>50</v>
      </c>
    </row>
    <row r="488" spans="1:12">
      <c r="A488" t="s">
        <v>1437</v>
      </c>
      <c r="B488" t="s">
        <v>374</v>
      </c>
      <c r="C488" t="s">
        <v>4</v>
      </c>
      <c r="D488" t="s">
        <v>387</v>
      </c>
      <c r="E488" t="s">
        <v>1438</v>
      </c>
      <c r="G488">
        <v>42188</v>
      </c>
      <c r="H488">
        <v>1845676</v>
      </c>
      <c r="I488">
        <v>1.7</v>
      </c>
      <c r="J488">
        <v>57</v>
      </c>
      <c r="K488">
        <v>0</v>
      </c>
      <c r="L488" t="s">
        <v>50</v>
      </c>
    </row>
    <row r="489" spans="1:12">
      <c r="A489" t="s">
        <v>1439</v>
      </c>
      <c r="B489" t="s">
        <v>374</v>
      </c>
      <c r="C489" t="s">
        <v>375</v>
      </c>
      <c r="D489" t="s">
        <v>387</v>
      </c>
      <c r="E489" t="s">
        <v>397</v>
      </c>
      <c r="G489">
        <v>47408</v>
      </c>
      <c r="H489">
        <v>0</v>
      </c>
      <c r="I489">
        <v>4.9000000000000004</v>
      </c>
      <c r="J489">
        <v>81</v>
      </c>
      <c r="K489">
        <v>0</v>
      </c>
      <c r="L489" t="s">
        <v>50</v>
      </c>
    </row>
    <row r="490" spans="1:12">
      <c r="A490" t="s">
        <v>1440</v>
      </c>
      <c r="B490" t="s">
        <v>368</v>
      </c>
      <c r="C490" t="s">
        <v>382</v>
      </c>
      <c r="D490" t="s">
        <v>369</v>
      </c>
      <c r="E490" t="s">
        <v>1441</v>
      </c>
      <c r="G490">
        <v>231225</v>
      </c>
      <c r="H490">
        <v>0</v>
      </c>
      <c r="I490">
        <v>3.6</v>
      </c>
      <c r="J490">
        <v>67</v>
      </c>
      <c r="K490">
        <v>3</v>
      </c>
      <c r="L490" t="s">
        <v>50</v>
      </c>
    </row>
    <row r="491" spans="1:12">
      <c r="A491" t="s">
        <v>1442</v>
      </c>
      <c r="B491" t="s">
        <v>363</v>
      </c>
      <c r="C491" t="s">
        <v>382</v>
      </c>
      <c r="D491" t="s">
        <v>437</v>
      </c>
      <c r="E491" t="s">
        <v>1443</v>
      </c>
      <c r="G491">
        <v>270660</v>
      </c>
      <c r="H491">
        <v>0</v>
      </c>
      <c r="I491">
        <v>4.8</v>
      </c>
      <c r="J491">
        <v>56</v>
      </c>
      <c r="K491">
        <v>0</v>
      </c>
      <c r="L491" t="s">
        <v>50</v>
      </c>
    </row>
    <row r="492" spans="1:12">
      <c r="A492" t="s">
        <v>1444</v>
      </c>
      <c r="B492" t="s">
        <v>363</v>
      </c>
      <c r="C492" t="s">
        <v>375</v>
      </c>
      <c r="D492" t="s">
        <v>378</v>
      </c>
      <c r="E492" t="s">
        <v>1445</v>
      </c>
      <c r="G492">
        <v>317079</v>
      </c>
      <c r="H492">
        <v>0</v>
      </c>
      <c r="I492">
        <v>2.7</v>
      </c>
      <c r="J492">
        <v>95</v>
      </c>
      <c r="K492">
        <v>0</v>
      </c>
      <c r="L492" t="s">
        <v>50</v>
      </c>
    </row>
    <row r="493" spans="1:12">
      <c r="A493" t="s">
        <v>1446</v>
      </c>
      <c r="B493" t="s">
        <v>363</v>
      </c>
      <c r="C493" t="s">
        <v>375</v>
      </c>
      <c r="D493" t="s">
        <v>378</v>
      </c>
      <c r="E493" t="s">
        <v>1447</v>
      </c>
      <c r="G493">
        <v>299439</v>
      </c>
      <c r="H493">
        <v>0</v>
      </c>
      <c r="I493">
        <v>4.5</v>
      </c>
      <c r="J493">
        <v>54</v>
      </c>
      <c r="K493">
        <v>1</v>
      </c>
      <c r="L493" t="s">
        <v>50</v>
      </c>
    </row>
    <row r="494" spans="1:12">
      <c r="A494" t="s">
        <v>1448</v>
      </c>
      <c r="B494" t="s">
        <v>363</v>
      </c>
      <c r="C494" t="s">
        <v>364</v>
      </c>
      <c r="D494" t="s">
        <v>378</v>
      </c>
      <c r="E494" t="s">
        <v>1449</v>
      </c>
      <c r="G494">
        <v>407449</v>
      </c>
      <c r="H494">
        <v>0</v>
      </c>
      <c r="I494">
        <v>2.2999999999999998</v>
      </c>
      <c r="J494">
        <v>55</v>
      </c>
      <c r="K494">
        <v>1</v>
      </c>
      <c r="L494" t="s">
        <v>50</v>
      </c>
    </row>
    <row r="495" spans="1:12">
      <c r="A495" t="s">
        <v>1450</v>
      </c>
      <c r="B495" t="s">
        <v>374</v>
      </c>
      <c r="C495" t="s">
        <v>375</v>
      </c>
      <c r="D495" t="s">
        <v>437</v>
      </c>
      <c r="E495" t="s">
        <v>1451</v>
      </c>
      <c r="G495">
        <v>332070</v>
      </c>
      <c r="H495">
        <v>0</v>
      </c>
      <c r="I495">
        <v>1.4</v>
      </c>
      <c r="J495">
        <v>96</v>
      </c>
      <c r="K495">
        <v>0</v>
      </c>
      <c r="L495" t="s">
        <v>50</v>
      </c>
    </row>
    <row r="496" spans="1:12">
      <c r="A496" t="s">
        <v>1452</v>
      </c>
      <c r="B496" t="s">
        <v>368</v>
      </c>
      <c r="C496" t="s">
        <v>382</v>
      </c>
      <c r="D496" t="s">
        <v>387</v>
      </c>
      <c r="E496" t="s">
        <v>1453</v>
      </c>
      <c r="G496">
        <v>68108</v>
      </c>
      <c r="H496">
        <v>28449</v>
      </c>
      <c r="I496">
        <v>2.1</v>
      </c>
      <c r="J496">
        <v>82</v>
      </c>
      <c r="K496">
        <v>1</v>
      </c>
      <c r="L496" t="s">
        <v>93</v>
      </c>
    </row>
    <row r="497" spans="1:12">
      <c r="A497" t="s">
        <v>1454</v>
      </c>
      <c r="B497" t="s">
        <v>368</v>
      </c>
      <c r="C497" t="s">
        <v>4</v>
      </c>
      <c r="D497" t="s">
        <v>417</v>
      </c>
      <c r="E497" t="s">
        <v>1455</v>
      </c>
      <c r="G497">
        <v>284095</v>
      </c>
      <c r="H497">
        <v>1737677</v>
      </c>
      <c r="I497">
        <v>2.8</v>
      </c>
      <c r="J497">
        <v>93</v>
      </c>
      <c r="K497">
        <v>0</v>
      </c>
      <c r="L497" t="s">
        <v>50</v>
      </c>
    </row>
    <row r="498" spans="1:12">
      <c r="A498" t="s">
        <v>1456</v>
      </c>
      <c r="B498" t="s">
        <v>374</v>
      </c>
      <c r="C498" t="s">
        <v>364</v>
      </c>
      <c r="D498" t="s">
        <v>369</v>
      </c>
      <c r="E498" t="s">
        <v>1457</v>
      </c>
      <c r="G498">
        <v>132168</v>
      </c>
      <c r="H498">
        <v>0</v>
      </c>
      <c r="I498">
        <v>3.7</v>
      </c>
      <c r="J498">
        <v>62</v>
      </c>
      <c r="K498">
        <v>0</v>
      </c>
      <c r="L498" t="s">
        <v>50</v>
      </c>
    </row>
    <row r="499" spans="1:12">
      <c r="A499" t="s">
        <v>1458</v>
      </c>
      <c r="B499" t="s">
        <v>363</v>
      </c>
      <c r="C499" t="s">
        <v>375</v>
      </c>
      <c r="D499" t="s">
        <v>417</v>
      </c>
      <c r="E499" t="s">
        <v>1459</v>
      </c>
      <c r="G499">
        <v>315440</v>
      </c>
      <c r="H499">
        <v>0</v>
      </c>
      <c r="I499">
        <v>3.8</v>
      </c>
      <c r="J499">
        <v>81</v>
      </c>
      <c r="K499">
        <v>1</v>
      </c>
      <c r="L499" t="s">
        <v>50</v>
      </c>
    </row>
    <row r="500" spans="1:12">
      <c r="A500" t="s">
        <v>1460</v>
      </c>
      <c r="B500" t="s">
        <v>374</v>
      </c>
      <c r="C500" t="s">
        <v>364</v>
      </c>
      <c r="D500" t="s">
        <v>365</v>
      </c>
      <c r="E500" t="s">
        <v>1461</v>
      </c>
      <c r="G500">
        <v>209444</v>
      </c>
      <c r="H500">
        <v>14965</v>
      </c>
      <c r="I500">
        <v>3.8</v>
      </c>
      <c r="J500">
        <v>57</v>
      </c>
      <c r="K500">
        <v>0</v>
      </c>
      <c r="L500" t="s">
        <v>93</v>
      </c>
    </row>
    <row r="501" spans="1:12">
      <c r="A501" t="s">
        <v>1462</v>
      </c>
      <c r="B501" t="s">
        <v>363</v>
      </c>
      <c r="C501" t="s">
        <v>382</v>
      </c>
      <c r="D501" t="s">
        <v>383</v>
      </c>
      <c r="E501" t="s">
        <v>1463</v>
      </c>
      <c r="G501">
        <v>86732</v>
      </c>
      <c r="H501">
        <v>45960</v>
      </c>
      <c r="I501">
        <v>1.3</v>
      </c>
      <c r="J501">
        <v>80</v>
      </c>
      <c r="K501">
        <v>0</v>
      </c>
      <c r="L501" t="s">
        <v>50</v>
      </c>
    </row>
    <row r="502" spans="1:12">
      <c r="A502" t="s">
        <v>1464</v>
      </c>
      <c r="B502" t="s">
        <v>363</v>
      </c>
      <c r="C502" t="s">
        <v>4</v>
      </c>
      <c r="D502" t="s">
        <v>365</v>
      </c>
      <c r="E502" t="s">
        <v>1465</v>
      </c>
      <c r="G502">
        <v>288560</v>
      </c>
      <c r="H502">
        <v>789421</v>
      </c>
      <c r="I502">
        <v>4.3</v>
      </c>
      <c r="J502">
        <v>70</v>
      </c>
      <c r="K502">
        <v>1</v>
      </c>
      <c r="L502" t="s">
        <v>50</v>
      </c>
    </row>
    <row r="503" spans="1:12">
      <c r="A503" t="s">
        <v>1466</v>
      </c>
      <c r="B503" t="s">
        <v>363</v>
      </c>
      <c r="C503" t="s">
        <v>364</v>
      </c>
      <c r="D503" t="s">
        <v>369</v>
      </c>
      <c r="E503" t="s">
        <v>1467</v>
      </c>
      <c r="G503">
        <v>228033</v>
      </c>
      <c r="H503">
        <v>0</v>
      </c>
      <c r="I503">
        <v>2.4</v>
      </c>
      <c r="J503">
        <v>78</v>
      </c>
      <c r="K503">
        <v>1</v>
      </c>
      <c r="L503" t="s">
        <v>50</v>
      </c>
    </row>
    <row r="504" spans="1:12">
      <c r="A504" t="s">
        <v>1468</v>
      </c>
      <c r="B504" t="s">
        <v>374</v>
      </c>
      <c r="C504" t="s">
        <v>4</v>
      </c>
      <c r="D504" t="s">
        <v>417</v>
      </c>
      <c r="E504" t="s">
        <v>1068</v>
      </c>
      <c r="G504">
        <v>352625</v>
      </c>
      <c r="H504">
        <v>2479918</v>
      </c>
      <c r="I504">
        <v>4.5999999999999996</v>
      </c>
      <c r="J504">
        <v>96</v>
      </c>
      <c r="K504">
        <v>1</v>
      </c>
      <c r="L504" t="s">
        <v>50</v>
      </c>
    </row>
    <row r="505" spans="1:12">
      <c r="A505" t="s">
        <v>1469</v>
      </c>
      <c r="B505" t="s">
        <v>368</v>
      </c>
      <c r="C505" t="s">
        <v>375</v>
      </c>
      <c r="D505" t="s">
        <v>387</v>
      </c>
      <c r="E505" t="s">
        <v>1470</v>
      </c>
      <c r="G505">
        <v>53106</v>
      </c>
      <c r="H505">
        <v>32925</v>
      </c>
      <c r="I505">
        <v>4.3</v>
      </c>
      <c r="J505">
        <v>98</v>
      </c>
      <c r="K505">
        <v>1</v>
      </c>
      <c r="L505" t="s">
        <v>50</v>
      </c>
    </row>
    <row r="506" spans="1:12">
      <c r="A506" t="s">
        <v>1471</v>
      </c>
      <c r="B506" t="s">
        <v>399</v>
      </c>
      <c r="C506" t="s">
        <v>375</v>
      </c>
      <c r="D506" t="s">
        <v>437</v>
      </c>
      <c r="E506" t="s">
        <v>1472</v>
      </c>
      <c r="F506" t="s">
        <v>1473</v>
      </c>
      <c r="G506">
        <v>429984</v>
      </c>
      <c r="H506">
        <v>0</v>
      </c>
      <c r="I506">
        <v>3.5</v>
      </c>
      <c r="J506">
        <v>100</v>
      </c>
      <c r="K506">
        <v>0</v>
      </c>
      <c r="L506" t="s">
        <v>93</v>
      </c>
    </row>
    <row r="507" spans="1:12">
      <c r="A507" t="s">
        <v>1474</v>
      </c>
      <c r="B507" t="s">
        <v>374</v>
      </c>
      <c r="C507" t="s">
        <v>382</v>
      </c>
      <c r="D507" t="s">
        <v>387</v>
      </c>
      <c r="E507" t="s">
        <v>1475</v>
      </c>
      <c r="G507">
        <v>49202</v>
      </c>
      <c r="H507">
        <v>0</v>
      </c>
      <c r="I507">
        <v>3.1</v>
      </c>
      <c r="J507">
        <v>43</v>
      </c>
      <c r="K507">
        <v>0</v>
      </c>
      <c r="L507" t="s">
        <v>50</v>
      </c>
    </row>
    <row r="508" spans="1:12">
      <c r="A508" t="s">
        <v>1476</v>
      </c>
      <c r="B508" t="s">
        <v>374</v>
      </c>
      <c r="C508" t="s">
        <v>364</v>
      </c>
      <c r="D508" t="s">
        <v>369</v>
      </c>
      <c r="E508" t="s">
        <v>1477</v>
      </c>
      <c r="G508">
        <v>146802</v>
      </c>
      <c r="H508">
        <v>22744</v>
      </c>
      <c r="I508">
        <v>2.7</v>
      </c>
      <c r="J508">
        <v>87</v>
      </c>
      <c r="K508">
        <v>2</v>
      </c>
      <c r="L508" t="s">
        <v>50</v>
      </c>
    </row>
    <row r="509" spans="1:12">
      <c r="A509" t="s">
        <v>1478</v>
      </c>
      <c r="B509" t="s">
        <v>399</v>
      </c>
      <c r="C509" t="s">
        <v>375</v>
      </c>
      <c r="D509" t="s">
        <v>417</v>
      </c>
      <c r="E509" t="s">
        <v>1479</v>
      </c>
      <c r="G509">
        <v>381225</v>
      </c>
      <c r="H509">
        <v>0</v>
      </c>
      <c r="I509">
        <v>1.3</v>
      </c>
      <c r="J509">
        <v>80</v>
      </c>
      <c r="K509">
        <v>0</v>
      </c>
      <c r="L509" t="s">
        <v>50</v>
      </c>
    </row>
    <row r="510" spans="1:12">
      <c r="A510" t="s">
        <v>1480</v>
      </c>
      <c r="B510" t="s">
        <v>399</v>
      </c>
      <c r="C510" t="s">
        <v>375</v>
      </c>
      <c r="D510" t="s">
        <v>437</v>
      </c>
      <c r="E510" t="s">
        <v>976</v>
      </c>
      <c r="G510">
        <v>450312</v>
      </c>
      <c r="H510">
        <v>0</v>
      </c>
      <c r="I510">
        <v>3.3</v>
      </c>
      <c r="J510">
        <v>84</v>
      </c>
      <c r="K510">
        <v>0</v>
      </c>
      <c r="L510" t="s">
        <v>50</v>
      </c>
    </row>
    <row r="511" spans="1:12">
      <c r="A511" t="s">
        <v>1481</v>
      </c>
      <c r="B511" t="s">
        <v>374</v>
      </c>
      <c r="C511" t="s">
        <v>364</v>
      </c>
      <c r="D511" t="s">
        <v>383</v>
      </c>
      <c r="E511" t="s">
        <v>1482</v>
      </c>
      <c r="G511">
        <v>128348</v>
      </c>
      <c r="H511">
        <v>0</v>
      </c>
      <c r="I511">
        <v>2.7</v>
      </c>
      <c r="J511">
        <v>40</v>
      </c>
      <c r="K511">
        <v>1</v>
      </c>
      <c r="L511" t="s">
        <v>50</v>
      </c>
    </row>
    <row r="512" spans="1:12">
      <c r="A512" t="s">
        <v>1483</v>
      </c>
      <c r="B512" t="s">
        <v>368</v>
      </c>
      <c r="C512" t="s">
        <v>382</v>
      </c>
      <c r="D512" t="s">
        <v>369</v>
      </c>
      <c r="E512" t="s">
        <v>1484</v>
      </c>
      <c r="F512" t="s">
        <v>1485</v>
      </c>
      <c r="G512">
        <v>189141</v>
      </c>
      <c r="H512">
        <v>0</v>
      </c>
      <c r="I512">
        <v>2.5</v>
      </c>
      <c r="J512">
        <v>42</v>
      </c>
      <c r="K512">
        <v>2</v>
      </c>
      <c r="L512" t="s">
        <v>50</v>
      </c>
    </row>
    <row r="513" spans="1:12">
      <c r="A513" t="s">
        <v>1486</v>
      </c>
      <c r="B513" t="s">
        <v>399</v>
      </c>
      <c r="C513" t="s">
        <v>364</v>
      </c>
      <c r="D513" t="s">
        <v>383</v>
      </c>
      <c r="E513" t="s">
        <v>985</v>
      </c>
      <c r="G513">
        <v>82390</v>
      </c>
      <c r="H513">
        <v>0</v>
      </c>
      <c r="I513">
        <v>2.6</v>
      </c>
      <c r="J513">
        <v>47</v>
      </c>
      <c r="K513">
        <v>0</v>
      </c>
      <c r="L513" t="s">
        <v>50</v>
      </c>
    </row>
    <row r="514" spans="1:12">
      <c r="A514" t="s">
        <v>1487</v>
      </c>
      <c r="B514" t="s">
        <v>368</v>
      </c>
      <c r="C514" t="s">
        <v>364</v>
      </c>
      <c r="D514" t="s">
        <v>369</v>
      </c>
      <c r="E514" t="s">
        <v>995</v>
      </c>
      <c r="F514" t="s">
        <v>1488</v>
      </c>
      <c r="G514">
        <v>130596</v>
      </c>
      <c r="H514">
        <v>0</v>
      </c>
      <c r="I514">
        <v>4.5</v>
      </c>
      <c r="J514">
        <v>41</v>
      </c>
      <c r="K514">
        <v>1</v>
      </c>
      <c r="L514" t="s">
        <v>50</v>
      </c>
    </row>
    <row r="515" spans="1:12">
      <c r="A515" t="s">
        <v>1489</v>
      </c>
      <c r="B515" t="s">
        <v>363</v>
      </c>
      <c r="C515" t="s">
        <v>375</v>
      </c>
      <c r="D515" t="s">
        <v>437</v>
      </c>
      <c r="E515" t="s">
        <v>1490</v>
      </c>
      <c r="F515" t="s">
        <v>1491</v>
      </c>
      <c r="G515">
        <v>374700</v>
      </c>
      <c r="H515">
        <v>0</v>
      </c>
      <c r="I515">
        <v>3.3</v>
      </c>
      <c r="J515">
        <v>58</v>
      </c>
      <c r="K515">
        <v>0</v>
      </c>
      <c r="L515" t="s">
        <v>93</v>
      </c>
    </row>
    <row r="516" spans="1:12">
      <c r="A516" t="s">
        <v>1492</v>
      </c>
      <c r="B516" t="s">
        <v>363</v>
      </c>
      <c r="C516" t="s">
        <v>4</v>
      </c>
      <c r="D516" t="s">
        <v>437</v>
      </c>
      <c r="E516" t="s">
        <v>1493</v>
      </c>
      <c r="G516">
        <v>441492</v>
      </c>
      <c r="H516">
        <v>498264</v>
      </c>
      <c r="I516">
        <v>4.4000000000000004</v>
      </c>
      <c r="J516">
        <v>40</v>
      </c>
      <c r="K516">
        <v>2</v>
      </c>
      <c r="L516" t="s">
        <v>50</v>
      </c>
    </row>
    <row r="517" spans="1:12">
      <c r="A517" t="s">
        <v>1494</v>
      </c>
      <c r="B517" t="s">
        <v>399</v>
      </c>
      <c r="C517" t="s">
        <v>364</v>
      </c>
      <c r="D517" t="s">
        <v>378</v>
      </c>
      <c r="E517" t="s">
        <v>1495</v>
      </c>
      <c r="F517" t="s">
        <v>1496</v>
      </c>
      <c r="G517">
        <v>290696</v>
      </c>
      <c r="H517">
        <v>0</v>
      </c>
      <c r="I517">
        <v>3.3</v>
      </c>
      <c r="J517">
        <v>67</v>
      </c>
      <c r="K517">
        <v>0</v>
      </c>
      <c r="L517" t="s">
        <v>50</v>
      </c>
    </row>
    <row r="518" spans="1:12">
      <c r="A518" t="s">
        <v>1497</v>
      </c>
      <c r="B518" t="s">
        <v>363</v>
      </c>
      <c r="C518" t="s">
        <v>382</v>
      </c>
      <c r="D518" t="s">
        <v>387</v>
      </c>
      <c r="E518" t="s">
        <v>1498</v>
      </c>
      <c r="G518">
        <v>41405</v>
      </c>
      <c r="H518">
        <v>30914</v>
      </c>
      <c r="I518">
        <v>3.1</v>
      </c>
      <c r="J518">
        <v>45</v>
      </c>
      <c r="K518">
        <v>1</v>
      </c>
      <c r="L518" t="s">
        <v>50</v>
      </c>
    </row>
    <row r="519" spans="1:12">
      <c r="A519" t="s">
        <v>1499</v>
      </c>
      <c r="B519" t="s">
        <v>363</v>
      </c>
      <c r="C519" t="s">
        <v>4</v>
      </c>
      <c r="D519" t="s">
        <v>437</v>
      </c>
      <c r="E519" t="s">
        <v>571</v>
      </c>
      <c r="G519">
        <v>387408</v>
      </c>
      <c r="H519">
        <v>1280708</v>
      </c>
      <c r="I519">
        <v>1.3</v>
      </c>
      <c r="J519">
        <v>87</v>
      </c>
      <c r="K519">
        <v>2</v>
      </c>
      <c r="L519" t="s">
        <v>50</v>
      </c>
    </row>
    <row r="520" spans="1:12">
      <c r="A520" t="s">
        <v>1500</v>
      </c>
      <c r="B520" t="s">
        <v>374</v>
      </c>
      <c r="C520" t="s">
        <v>382</v>
      </c>
      <c r="D520" t="s">
        <v>387</v>
      </c>
      <c r="E520" t="s">
        <v>1198</v>
      </c>
      <c r="G520">
        <v>59687</v>
      </c>
      <c r="H520">
        <v>0</v>
      </c>
      <c r="I520">
        <v>1.4</v>
      </c>
      <c r="J520">
        <v>68</v>
      </c>
      <c r="K520">
        <v>0</v>
      </c>
      <c r="L520" t="s">
        <v>50</v>
      </c>
    </row>
    <row r="521" spans="1:12">
      <c r="A521" t="s">
        <v>1501</v>
      </c>
      <c r="B521" t="s">
        <v>399</v>
      </c>
      <c r="C521" t="s">
        <v>382</v>
      </c>
      <c r="D521" t="s">
        <v>383</v>
      </c>
      <c r="E521" t="s">
        <v>1502</v>
      </c>
      <c r="F521" t="s">
        <v>1503</v>
      </c>
      <c r="G521">
        <v>152722</v>
      </c>
      <c r="H521">
        <v>27218</v>
      </c>
      <c r="I521">
        <v>3.8</v>
      </c>
      <c r="J521">
        <v>79</v>
      </c>
      <c r="K521">
        <v>1</v>
      </c>
      <c r="L521" t="s">
        <v>93</v>
      </c>
    </row>
    <row r="522" spans="1:12">
      <c r="A522" t="s">
        <v>1504</v>
      </c>
      <c r="B522" t="s">
        <v>374</v>
      </c>
      <c r="C522" t="s">
        <v>364</v>
      </c>
      <c r="D522" t="s">
        <v>378</v>
      </c>
      <c r="E522" t="s">
        <v>1505</v>
      </c>
      <c r="F522" t="s">
        <v>1506</v>
      </c>
      <c r="G522">
        <v>495502</v>
      </c>
      <c r="H522">
        <v>0</v>
      </c>
      <c r="I522">
        <v>3.5</v>
      </c>
      <c r="J522">
        <v>40</v>
      </c>
      <c r="K522">
        <v>0</v>
      </c>
      <c r="L522" t="s">
        <v>50</v>
      </c>
    </row>
    <row r="523" spans="1:12">
      <c r="A523" t="s">
        <v>1507</v>
      </c>
      <c r="B523" t="s">
        <v>368</v>
      </c>
      <c r="C523" t="s">
        <v>382</v>
      </c>
      <c r="D523" t="s">
        <v>383</v>
      </c>
      <c r="E523" t="s">
        <v>1508</v>
      </c>
      <c r="F523" t="s">
        <v>1509</v>
      </c>
      <c r="G523">
        <v>154262</v>
      </c>
      <c r="H523">
        <v>0</v>
      </c>
      <c r="I523">
        <v>4.5999999999999996</v>
      </c>
      <c r="J523">
        <v>53</v>
      </c>
      <c r="K523">
        <v>0</v>
      </c>
      <c r="L523" t="s">
        <v>93</v>
      </c>
    </row>
    <row r="524" spans="1:12">
      <c r="A524" t="s">
        <v>1510</v>
      </c>
      <c r="B524" t="s">
        <v>399</v>
      </c>
      <c r="C524" t="s">
        <v>382</v>
      </c>
      <c r="D524" t="s">
        <v>383</v>
      </c>
      <c r="E524" t="s">
        <v>1511</v>
      </c>
      <c r="G524">
        <v>114522</v>
      </c>
      <c r="H524">
        <v>0</v>
      </c>
      <c r="I524">
        <v>1.3</v>
      </c>
      <c r="J524">
        <v>85</v>
      </c>
      <c r="K524">
        <v>2</v>
      </c>
      <c r="L524" t="s">
        <v>50</v>
      </c>
    </row>
    <row r="525" spans="1:12">
      <c r="A525" t="s">
        <v>1512</v>
      </c>
      <c r="B525" t="s">
        <v>399</v>
      </c>
      <c r="C525" t="s">
        <v>4</v>
      </c>
      <c r="D525" t="s">
        <v>417</v>
      </c>
      <c r="E525" t="s">
        <v>1513</v>
      </c>
      <c r="G525">
        <v>263120</v>
      </c>
      <c r="H525">
        <v>1862935</v>
      </c>
      <c r="I525">
        <v>2.5</v>
      </c>
      <c r="J525">
        <v>40</v>
      </c>
      <c r="K525">
        <v>3</v>
      </c>
      <c r="L525" t="s">
        <v>50</v>
      </c>
    </row>
    <row r="526" spans="1:12">
      <c r="A526" t="s">
        <v>1514</v>
      </c>
      <c r="B526" t="s">
        <v>374</v>
      </c>
      <c r="C526" t="s">
        <v>382</v>
      </c>
      <c r="D526" t="s">
        <v>365</v>
      </c>
      <c r="E526" t="s">
        <v>1515</v>
      </c>
      <c r="G526">
        <v>244272</v>
      </c>
      <c r="H526">
        <v>24344</v>
      </c>
      <c r="I526">
        <v>2.2000000000000002</v>
      </c>
      <c r="J526">
        <v>96</v>
      </c>
      <c r="K526">
        <v>2</v>
      </c>
      <c r="L526" t="s">
        <v>50</v>
      </c>
    </row>
    <row r="527" spans="1:12">
      <c r="A527" t="s">
        <v>1516</v>
      </c>
      <c r="B527" t="s">
        <v>368</v>
      </c>
      <c r="C527" t="s">
        <v>364</v>
      </c>
      <c r="D527" t="s">
        <v>378</v>
      </c>
      <c r="E527" t="s">
        <v>1517</v>
      </c>
      <c r="G527">
        <v>441350</v>
      </c>
      <c r="H527">
        <v>26351</v>
      </c>
      <c r="I527">
        <v>3</v>
      </c>
      <c r="J527">
        <v>59</v>
      </c>
      <c r="K527">
        <v>2</v>
      </c>
      <c r="L527" t="s">
        <v>50</v>
      </c>
    </row>
    <row r="528" spans="1:12">
      <c r="A528" t="s">
        <v>1518</v>
      </c>
      <c r="B528" t="s">
        <v>399</v>
      </c>
      <c r="C528" t="s">
        <v>382</v>
      </c>
      <c r="D528" t="s">
        <v>365</v>
      </c>
      <c r="E528" t="s">
        <v>1519</v>
      </c>
      <c r="G528">
        <v>210468</v>
      </c>
      <c r="H528">
        <v>0</v>
      </c>
      <c r="I528">
        <v>2.7</v>
      </c>
      <c r="J528">
        <v>78</v>
      </c>
      <c r="K528">
        <v>0</v>
      </c>
      <c r="L528" t="s">
        <v>93</v>
      </c>
    </row>
    <row r="529" spans="1:12">
      <c r="A529" t="s">
        <v>1520</v>
      </c>
      <c r="B529" t="s">
        <v>363</v>
      </c>
      <c r="C529" t="s">
        <v>382</v>
      </c>
      <c r="D529" t="s">
        <v>369</v>
      </c>
      <c r="E529" t="s">
        <v>1521</v>
      </c>
      <c r="G529">
        <v>126294</v>
      </c>
      <c r="H529">
        <v>34072</v>
      </c>
      <c r="I529">
        <v>1.7</v>
      </c>
      <c r="J529">
        <v>55</v>
      </c>
      <c r="K529">
        <v>3</v>
      </c>
      <c r="L529" t="s">
        <v>50</v>
      </c>
    </row>
    <row r="530" spans="1:12">
      <c r="A530" t="s">
        <v>1522</v>
      </c>
      <c r="B530" t="s">
        <v>374</v>
      </c>
      <c r="C530" t="s">
        <v>375</v>
      </c>
      <c r="D530" t="s">
        <v>369</v>
      </c>
      <c r="E530" t="s">
        <v>1523</v>
      </c>
      <c r="G530">
        <v>233268</v>
      </c>
      <c r="H530">
        <v>0</v>
      </c>
      <c r="I530">
        <v>3.9</v>
      </c>
      <c r="J530">
        <v>98</v>
      </c>
      <c r="K530">
        <v>2</v>
      </c>
      <c r="L530" t="s">
        <v>50</v>
      </c>
    </row>
    <row r="531" spans="1:12">
      <c r="A531" t="s">
        <v>1524</v>
      </c>
      <c r="B531" t="s">
        <v>399</v>
      </c>
      <c r="C531" t="s">
        <v>382</v>
      </c>
      <c r="D531" t="s">
        <v>383</v>
      </c>
      <c r="E531" t="s">
        <v>1525</v>
      </c>
      <c r="F531" t="s">
        <v>1526</v>
      </c>
      <c r="G531">
        <v>133592</v>
      </c>
      <c r="H531">
        <v>17588</v>
      </c>
      <c r="I531">
        <v>4.5999999999999996</v>
      </c>
      <c r="J531">
        <v>100</v>
      </c>
      <c r="K531">
        <v>0</v>
      </c>
      <c r="L531" t="s">
        <v>50</v>
      </c>
    </row>
    <row r="532" spans="1:12">
      <c r="A532" t="s">
        <v>1527</v>
      </c>
      <c r="B532" t="s">
        <v>374</v>
      </c>
      <c r="C532" t="s">
        <v>4</v>
      </c>
      <c r="D532" t="s">
        <v>387</v>
      </c>
      <c r="E532" t="s">
        <v>1528</v>
      </c>
      <c r="G532">
        <v>54855</v>
      </c>
      <c r="H532">
        <v>222658</v>
      </c>
      <c r="I532">
        <v>4</v>
      </c>
      <c r="J532">
        <v>84</v>
      </c>
      <c r="K532">
        <v>0</v>
      </c>
      <c r="L532" t="s">
        <v>50</v>
      </c>
    </row>
    <row r="533" spans="1:12">
      <c r="A533" t="s">
        <v>1529</v>
      </c>
      <c r="B533" t="s">
        <v>368</v>
      </c>
      <c r="C533" t="s">
        <v>375</v>
      </c>
      <c r="D533" t="s">
        <v>378</v>
      </c>
      <c r="E533" t="s">
        <v>1530</v>
      </c>
      <c r="G533">
        <v>474950</v>
      </c>
      <c r="H533">
        <v>0</v>
      </c>
      <c r="I533">
        <v>2.8</v>
      </c>
      <c r="J533">
        <v>88</v>
      </c>
      <c r="K533">
        <v>0</v>
      </c>
      <c r="L533" t="s">
        <v>93</v>
      </c>
    </row>
    <row r="534" spans="1:12">
      <c r="A534" t="s">
        <v>1531</v>
      </c>
      <c r="B534" t="s">
        <v>374</v>
      </c>
      <c r="C534" t="s">
        <v>364</v>
      </c>
      <c r="D534" t="s">
        <v>365</v>
      </c>
      <c r="E534" t="s">
        <v>1532</v>
      </c>
      <c r="G534">
        <v>175428</v>
      </c>
      <c r="H534">
        <v>0</v>
      </c>
      <c r="I534">
        <v>4</v>
      </c>
      <c r="J534">
        <v>52</v>
      </c>
      <c r="K534">
        <v>1</v>
      </c>
      <c r="L534" t="s">
        <v>50</v>
      </c>
    </row>
    <row r="535" spans="1:12">
      <c r="A535" t="s">
        <v>1533</v>
      </c>
      <c r="B535" t="s">
        <v>363</v>
      </c>
      <c r="C535" t="s">
        <v>375</v>
      </c>
      <c r="D535" t="s">
        <v>365</v>
      </c>
      <c r="E535" t="s">
        <v>1534</v>
      </c>
      <c r="G535">
        <v>207072</v>
      </c>
      <c r="H535">
        <v>0</v>
      </c>
      <c r="I535">
        <v>1.2</v>
      </c>
      <c r="J535">
        <v>79</v>
      </c>
      <c r="K535">
        <v>1</v>
      </c>
      <c r="L535" t="s">
        <v>50</v>
      </c>
    </row>
    <row r="536" spans="1:12">
      <c r="A536" t="s">
        <v>1535</v>
      </c>
      <c r="B536" t="s">
        <v>399</v>
      </c>
      <c r="C536" t="s">
        <v>364</v>
      </c>
      <c r="D536" t="s">
        <v>365</v>
      </c>
      <c r="E536" t="s">
        <v>742</v>
      </c>
      <c r="F536" t="s">
        <v>1536</v>
      </c>
      <c r="G536">
        <v>265228</v>
      </c>
      <c r="H536">
        <v>0</v>
      </c>
      <c r="I536">
        <v>4.5</v>
      </c>
      <c r="J536">
        <v>41</v>
      </c>
      <c r="K536">
        <v>1</v>
      </c>
      <c r="L536" t="s">
        <v>50</v>
      </c>
    </row>
    <row r="537" spans="1:12">
      <c r="A537" t="s">
        <v>1537</v>
      </c>
      <c r="B537" t="s">
        <v>399</v>
      </c>
      <c r="C537" t="s">
        <v>375</v>
      </c>
      <c r="D537" t="s">
        <v>365</v>
      </c>
      <c r="E537" t="s">
        <v>1465</v>
      </c>
      <c r="G537">
        <v>245572</v>
      </c>
      <c r="H537">
        <v>0</v>
      </c>
      <c r="I537">
        <v>2.2999999999999998</v>
      </c>
      <c r="J537">
        <v>90</v>
      </c>
      <c r="K537">
        <v>0</v>
      </c>
      <c r="L537" t="s">
        <v>50</v>
      </c>
    </row>
    <row r="538" spans="1:12">
      <c r="A538" t="s">
        <v>1538</v>
      </c>
      <c r="B538" t="s">
        <v>363</v>
      </c>
      <c r="C538" t="s">
        <v>364</v>
      </c>
      <c r="D538" t="s">
        <v>417</v>
      </c>
      <c r="E538" t="s">
        <v>1539</v>
      </c>
      <c r="G538">
        <v>342495</v>
      </c>
      <c r="H538">
        <v>0</v>
      </c>
      <c r="I538">
        <v>2.6</v>
      </c>
      <c r="J538">
        <v>61</v>
      </c>
      <c r="K538">
        <v>0</v>
      </c>
      <c r="L538" t="s">
        <v>50</v>
      </c>
    </row>
    <row r="539" spans="1:12">
      <c r="A539" t="s">
        <v>1540</v>
      </c>
      <c r="B539" t="s">
        <v>368</v>
      </c>
      <c r="C539" t="s">
        <v>375</v>
      </c>
      <c r="D539" t="s">
        <v>369</v>
      </c>
      <c r="E539" t="s">
        <v>1541</v>
      </c>
      <c r="G539">
        <v>219321</v>
      </c>
      <c r="H539">
        <v>0</v>
      </c>
      <c r="I539">
        <v>3.7</v>
      </c>
      <c r="J539">
        <v>96</v>
      </c>
      <c r="K539">
        <v>0</v>
      </c>
      <c r="L539" t="s">
        <v>50</v>
      </c>
    </row>
    <row r="540" spans="1:12">
      <c r="A540" t="s">
        <v>1542</v>
      </c>
      <c r="B540" t="s">
        <v>399</v>
      </c>
      <c r="C540" t="s">
        <v>4</v>
      </c>
      <c r="D540" t="s">
        <v>378</v>
      </c>
      <c r="E540" t="s">
        <v>882</v>
      </c>
      <c r="G540">
        <v>440384</v>
      </c>
      <c r="H540">
        <v>2102503</v>
      </c>
      <c r="I540">
        <v>3.9</v>
      </c>
      <c r="J540">
        <v>43</v>
      </c>
      <c r="K540">
        <v>0</v>
      </c>
      <c r="L540" t="s">
        <v>50</v>
      </c>
    </row>
    <row r="541" spans="1:12">
      <c r="A541" t="s">
        <v>1543</v>
      </c>
      <c r="B541" t="s">
        <v>399</v>
      </c>
      <c r="C541" t="s">
        <v>364</v>
      </c>
      <c r="D541" t="s">
        <v>383</v>
      </c>
      <c r="E541" t="s">
        <v>1544</v>
      </c>
      <c r="G541">
        <v>127884</v>
      </c>
      <c r="H541">
        <v>0</v>
      </c>
      <c r="I541">
        <v>3.5</v>
      </c>
      <c r="J541">
        <v>95</v>
      </c>
      <c r="K541">
        <v>0</v>
      </c>
      <c r="L541" t="s">
        <v>50</v>
      </c>
    </row>
    <row r="542" spans="1:12">
      <c r="A542" t="s">
        <v>1545</v>
      </c>
      <c r="B542" t="s">
        <v>374</v>
      </c>
      <c r="C542" t="s">
        <v>382</v>
      </c>
      <c r="D542" t="s">
        <v>437</v>
      </c>
      <c r="E542" t="s">
        <v>1546</v>
      </c>
      <c r="F542" t="s">
        <v>1547</v>
      </c>
      <c r="G542">
        <v>473298</v>
      </c>
      <c r="H542">
        <v>0</v>
      </c>
      <c r="I542">
        <v>4</v>
      </c>
      <c r="J542">
        <v>55</v>
      </c>
      <c r="K542">
        <v>1</v>
      </c>
      <c r="L542" t="s">
        <v>50</v>
      </c>
    </row>
    <row r="543" spans="1:12">
      <c r="A543" t="s">
        <v>1548</v>
      </c>
      <c r="B543" t="s">
        <v>374</v>
      </c>
      <c r="C543" t="s">
        <v>4</v>
      </c>
      <c r="D543" t="s">
        <v>437</v>
      </c>
      <c r="E543" t="s">
        <v>1229</v>
      </c>
      <c r="F543" t="s">
        <v>1549</v>
      </c>
      <c r="G543">
        <v>260418</v>
      </c>
      <c r="H543">
        <v>168746</v>
      </c>
      <c r="I543">
        <v>4.0999999999999996</v>
      </c>
      <c r="J543">
        <v>96</v>
      </c>
      <c r="K543">
        <v>1</v>
      </c>
      <c r="L543" t="s">
        <v>50</v>
      </c>
    </row>
    <row r="544" spans="1:12">
      <c r="A544" t="s">
        <v>1550</v>
      </c>
      <c r="B544" t="s">
        <v>399</v>
      </c>
      <c r="C544" t="s">
        <v>364</v>
      </c>
      <c r="D544" t="s">
        <v>437</v>
      </c>
      <c r="E544" t="s">
        <v>1551</v>
      </c>
      <c r="G544">
        <v>326220</v>
      </c>
      <c r="H544">
        <v>0</v>
      </c>
      <c r="I544">
        <v>4.2</v>
      </c>
      <c r="J544">
        <v>44</v>
      </c>
      <c r="K544">
        <v>3</v>
      </c>
      <c r="L544" t="s">
        <v>50</v>
      </c>
    </row>
    <row r="545" spans="1:12">
      <c r="A545" t="s">
        <v>1552</v>
      </c>
      <c r="B545" t="s">
        <v>399</v>
      </c>
      <c r="C545" t="s">
        <v>375</v>
      </c>
      <c r="D545" t="s">
        <v>378</v>
      </c>
      <c r="E545" t="s">
        <v>1146</v>
      </c>
      <c r="F545" t="s">
        <v>1553</v>
      </c>
      <c r="G545">
        <v>420658</v>
      </c>
      <c r="H545">
        <v>38725</v>
      </c>
      <c r="I545">
        <v>1.7</v>
      </c>
      <c r="J545">
        <v>63</v>
      </c>
      <c r="K545">
        <v>0</v>
      </c>
      <c r="L545" t="s">
        <v>50</v>
      </c>
    </row>
    <row r="546" spans="1:12">
      <c r="A546" t="s">
        <v>1554</v>
      </c>
      <c r="B546" t="s">
        <v>399</v>
      </c>
      <c r="C546" t="s">
        <v>364</v>
      </c>
      <c r="D546" t="s">
        <v>383</v>
      </c>
      <c r="E546" t="s">
        <v>1555</v>
      </c>
      <c r="F546" t="s">
        <v>1556</v>
      </c>
      <c r="G546">
        <v>86752</v>
      </c>
      <c r="H546">
        <v>0</v>
      </c>
      <c r="I546">
        <v>3.2</v>
      </c>
      <c r="J546">
        <v>84</v>
      </c>
      <c r="K546">
        <v>1</v>
      </c>
      <c r="L546" t="s">
        <v>50</v>
      </c>
    </row>
    <row r="547" spans="1:12">
      <c r="A547" t="s">
        <v>1557</v>
      </c>
      <c r="B547" t="s">
        <v>399</v>
      </c>
      <c r="C547" t="s">
        <v>382</v>
      </c>
      <c r="D547" t="s">
        <v>387</v>
      </c>
      <c r="E547" t="s">
        <v>1558</v>
      </c>
      <c r="G547">
        <v>48867</v>
      </c>
      <c r="H547">
        <v>0</v>
      </c>
      <c r="I547">
        <v>3.2</v>
      </c>
      <c r="J547">
        <v>99</v>
      </c>
      <c r="K547">
        <v>0</v>
      </c>
      <c r="L547" t="s">
        <v>50</v>
      </c>
    </row>
    <row r="548" spans="1:12">
      <c r="A548" t="s">
        <v>1559</v>
      </c>
      <c r="B548" t="s">
        <v>399</v>
      </c>
      <c r="C548" t="s">
        <v>382</v>
      </c>
      <c r="D548" t="s">
        <v>387</v>
      </c>
      <c r="E548" t="s">
        <v>1560</v>
      </c>
      <c r="G548">
        <v>50133</v>
      </c>
      <c r="H548">
        <v>16315</v>
      </c>
      <c r="I548">
        <v>2.8</v>
      </c>
      <c r="J548">
        <v>87</v>
      </c>
      <c r="K548">
        <v>0</v>
      </c>
      <c r="L548" t="s">
        <v>50</v>
      </c>
    </row>
    <row r="549" spans="1:12">
      <c r="A549" t="s">
        <v>1561</v>
      </c>
      <c r="B549" t="s">
        <v>368</v>
      </c>
      <c r="C549" t="s">
        <v>382</v>
      </c>
      <c r="D549" t="s">
        <v>417</v>
      </c>
      <c r="E549" t="s">
        <v>1562</v>
      </c>
      <c r="G549">
        <v>332695</v>
      </c>
      <c r="H549">
        <v>0</v>
      </c>
      <c r="I549">
        <v>3.8</v>
      </c>
      <c r="J549">
        <v>51</v>
      </c>
      <c r="K549">
        <v>0</v>
      </c>
      <c r="L549" t="s">
        <v>50</v>
      </c>
    </row>
    <row r="550" spans="1:12">
      <c r="A550" t="s">
        <v>1563</v>
      </c>
      <c r="B550" t="s">
        <v>399</v>
      </c>
      <c r="C550" t="s">
        <v>375</v>
      </c>
      <c r="D550" t="s">
        <v>387</v>
      </c>
      <c r="E550" t="s">
        <v>415</v>
      </c>
      <c r="G550">
        <v>43932</v>
      </c>
      <c r="H550">
        <v>0</v>
      </c>
      <c r="I550">
        <v>3.4</v>
      </c>
      <c r="J550">
        <v>46</v>
      </c>
      <c r="K550">
        <v>1</v>
      </c>
      <c r="L550" t="s">
        <v>50</v>
      </c>
    </row>
    <row r="551" spans="1:12">
      <c r="A551" t="s">
        <v>1564</v>
      </c>
      <c r="B551" t="s">
        <v>399</v>
      </c>
      <c r="C551" t="s">
        <v>375</v>
      </c>
      <c r="D551" t="s">
        <v>365</v>
      </c>
      <c r="E551" t="s">
        <v>1565</v>
      </c>
      <c r="G551">
        <v>212016</v>
      </c>
      <c r="H551">
        <v>45482</v>
      </c>
      <c r="I551">
        <v>3</v>
      </c>
      <c r="J551">
        <v>81</v>
      </c>
      <c r="K551">
        <v>1</v>
      </c>
      <c r="L551" t="s">
        <v>50</v>
      </c>
    </row>
    <row r="552" spans="1:12">
      <c r="A552" t="s">
        <v>1566</v>
      </c>
      <c r="B552" t="s">
        <v>363</v>
      </c>
      <c r="C552" t="s">
        <v>364</v>
      </c>
      <c r="D552" t="s">
        <v>365</v>
      </c>
      <c r="E552" t="s">
        <v>1567</v>
      </c>
      <c r="G552">
        <v>194780</v>
      </c>
      <c r="H552">
        <v>0</v>
      </c>
      <c r="I552">
        <v>4.5</v>
      </c>
      <c r="J552">
        <v>86</v>
      </c>
      <c r="K552">
        <v>0</v>
      </c>
      <c r="L552" t="s">
        <v>50</v>
      </c>
    </row>
    <row r="553" spans="1:12">
      <c r="A553" t="s">
        <v>1568</v>
      </c>
      <c r="B553" t="s">
        <v>399</v>
      </c>
      <c r="C553" t="s">
        <v>382</v>
      </c>
      <c r="D553" t="s">
        <v>369</v>
      </c>
      <c r="E553" t="s">
        <v>1114</v>
      </c>
      <c r="G553">
        <v>187455</v>
      </c>
      <c r="H553">
        <v>0</v>
      </c>
      <c r="I553">
        <v>1.4</v>
      </c>
      <c r="J553">
        <v>84</v>
      </c>
      <c r="K553">
        <v>3</v>
      </c>
      <c r="L553" t="s">
        <v>50</v>
      </c>
    </row>
    <row r="554" spans="1:12">
      <c r="A554" t="s">
        <v>1569</v>
      </c>
      <c r="B554" t="s">
        <v>374</v>
      </c>
      <c r="C554" t="s">
        <v>364</v>
      </c>
      <c r="D554" t="s">
        <v>383</v>
      </c>
      <c r="E554" t="s">
        <v>907</v>
      </c>
      <c r="F554" t="s">
        <v>893</v>
      </c>
      <c r="G554">
        <v>87208</v>
      </c>
      <c r="H554">
        <v>20034</v>
      </c>
      <c r="I554">
        <v>1.5</v>
      </c>
      <c r="J554">
        <v>66</v>
      </c>
      <c r="K554">
        <v>0</v>
      </c>
      <c r="L554" t="s">
        <v>50</v>
      </c>
    </row>
    <row r="555" spans="1:12">
      <c r="A555" t="s">
        <v>1570</v>
      </c>
      <c r="B555" t="s">
        <v>368</v>
      </c>
      <c r="C555" t="s">
        <v>375</v>
      </c>
      <c r="D555" t="s">
        <v>417</v>
      </c>
      <c r="E555" t="s">
        <v>597</v>
      </c>
      <c r="G555">
        <v>298820</v>
      </c>
      <c r="H555">
        <v>0</v>
      </c>
      <c r="I555">
        <v>2.4</v>
      </c>
      <c r="J555">
        <v>97</v>
      </c>
      <c r="K555">
        <v>0</v>
      </c>
      <c r="L555" t="s">
        <v>50</v>
      </c>
    </row>
    <row r="556" spans="1:12">
      <c r="A556" t="s">
        <v>1571</v>
      </c>
      <c r="B556" t="s">
        <v>399</v>
      </c>
      <c r="C556" t="s">
        <v>4</v>
      </c>
      <c r="D556" t="s">
        <v>383</v>
      </c>
      <c r="E556" t="s">
        <v>1572</v>
      </c>
      <c r="G556">
        <v>115896</v>
      </c>
      <c r="H556">
        <v>925027</v>
      </c>
      <c r="I556">
        <v>2.1</v>
      </c>
      <c r="J556">
        <v>70</v>
      </c>
      <c r="K556">
        <v>0</v>
      </c>
      <c r="L556" t="s">
        <v>50</v>
      </c>
    </row>
    <row r="557" spans="1:12">
      <c r="A557" t="s">
        <v>1573</v>
      </c>
      <c r="B557" t="s">
        <v>363</v>
      </c>
      <c r="C557" t="s">
        <v>364</v>
      </c>
      <c r="D557" t="s">
        <v>387</v>
      </c>
      <c r="E557" t="s">
        <v>874</v>
      </c>
      <c r="G557">
        <v>48833</v>
      </c>
      <c r="H557">
        <v>0</v>
      </c>
      <c r="I557">
        <v>3.4</v>
      </c>
      <c r="J557">
        <v>82</v>
      </c>
      <c r="K557">
        <v>0</v>
      </c>
      <c r="L557" t="s">
        <v>93</v>
      </c>
    </row>
    <row r="558" spans="1:12">
      <c r="A558" t="s">
        <v>1574</v>
      </c>
      <c r="B558" t="s">
        <v>363</v>
      </c>
      <c r="C558" t="s">
        <v>382</v>
      </c>
      <c r="D558" t="s">
        <v>365</v>
      </c>
      <c r="E558" t="s">
        <v>1575</v>
      </c>
      <c r="G558">
        <v>280600</v>
      </c>
      <c r="H558">
        <v>0</v>
      </c>
      <c r="I558">
        <v>4</v>
      </c>
      <c r="J558">
        <v>89</v>
      </c>
      <c r="K558">
        <v>0</v>
      </c>
      <c r="L558" t="s">
        <v>50</v>
      </c>
    </row>
    <row r="559" spans="1:12">
      <c r="A559" t="s">
        <v>1576</v>
      </c>
      <c r="B559" t="s">
        <v>368</v>
      </c>
      <c r="C559" t="s">
        <v>364</v>
      </c>
      <c r="D559" t="s">
        <v>387</v>
      </c>
      <c r="E559" t="s">
        <v>1043</v>
      </c>
      <c r="F559" t="s">
        <v>1577</v>
      </c>
      <c r="G559">
        <v>65590</v>
      </c>
      <c r="H559">
        <v>0</v>
      </c>
      <c r="I559">
        <v>2.9</v>
      </c>
      <c r="J559">
        <v>63</v>
      </c>
      <c r="K559">
        <v>2</v>
      </c>
      <c r="L559" t="s">
        <v>50</v>
      </c>
    </row>
    <row r="560" spans="1:12">
      <c r="A560" t="s">
        <v>1578</v>
      </c>
      <c r="B560" t="s">
        <v>363</v>
      </c>
      <c r="C560" t="s">
        <v>382</v>
      </c>
      <c r="D560" t="s">
        <v>383</v>
      </c>
      <c r="E560" t="s">
        <v>1219</v>
      </c>
      <c r="G560">
        <v>115672</v>
      </c>
      <c r="H560">
        <v>0</v>
      </c>
      <c r="I560">
        <v>2.9</v>
      </c>
      <c r="J560">
        <v>74</v>
      </c>
      <c r="K560">
        <v>0</v>
      </c>
      <c r="L560" t="s">
        <v>50</v>
      </c>
    </row>
    <row r="561" spans="1:12">
      <c r="A561" t="s">
        <v>1579</v>
      </c>
      <c r="B561" t="s">
        <v>399</v>
      </c>
      <c r="C561" t="s">
        <v>4</v>
      </c>
      <c r="D561" t="s">
        <v>378</v>
      </c>
      <c r="E561" t="s">
        <v>1580</v>
      </c>
      <c r="G561">
        <v>472227</v>
      </c>
      <c r="H561">
        <v>1323464</v>
      </c>
      <c r="I561">
        <v>4.4000000000000004</v>
      </c>
      <c r="J561">
        <v>58</v>
      </c>
      <c r="K561">
        <v>0</v>
      </c>
      <c r="L561" t="s">
        <v>50</v>
      </c>
    </row>
    <row r="562" spans="1:12">
      <c r="A562" t="s">
        <v>1581</v>
      </c>
      <c r="B562" t="s">
        <v>368</v>
      </c>
      <c r="C562" t="s">
        <v>4</v>
      </c>
      <c r="D562" t="s">
        <v>369</v>
      </c>
      <c r="E562" t="s">
        <v>1582</v>
      </c>
      <c r="G562">
        <v>140727</v>
      </c>
      <c r="H562">
        <v>2206850</v>
      </c>
      <c r="I562">
        <v>1.1000000000000001</v>
      </c>
      <c r="J562">
        <v>92</v>
      </c>
      <c r="K562">
        <v>1</v>
      </c>
      <c r="L562" t="s">
        <v>50</v>
      </c>
    </row>
    <row r="563" spans="1:12">
      <c r="A563" t="s">
        <v>1583</v>
      </c>
      <c r="B563" t="s">
        <v>363</v>
      </c>
      <c r="C563" t="s">
        <v>375</v>
      </c>
      <c r="D563" t="s">
        <v>369</v>
      </c>
      <c r="E563" t="s">
        <v>1584</v>
      </c>
      <c r="G563">
        <v>162417</v>
      </c>
      <c r="H563">
        <v>0</v>
      </c>
      <c r="I563">
        <v>3.6</v>
      </c>
      <c r="J563">
        <v>65</v>
      </c>
      <c r="K563">
        <v>2</v>
      </c>
      <c r="L563" t="s">
        <v>50</v>
      </c>
    </row>
    <row r="564" spans="1:12">
      <c r="A564" t="s">
        <v>1585</v>
      </c>
      <c r="B564" t="s">
        <v>368</v>
      </c>
      <c r="C564" t="s">
        <v>375</v>
      </c>
      <c r="D564" t="s">
        <v>378</v>
      </c>
      <c r="E564" t="s">
        <v>1586</v>
      </c>
      <c r="G564">
        <v>377811</v>
      </c>
      <c r="H564">
        <v>0</v>
      </c>
      <c r="I564">
        <v>4.9000000000000004</v>
      </c>
      <c r="J564">
        <v>70</v>
      </c>
      <c r="K564">
        <v>1</v>
      </c>
      <c r="L564" t="s">
        <v>50</v>
      </c>
    </row>
    <row r="565" spans="1:12">
      <c r="A565" t="s">
        <v>1587</v>
      </c>
      <c r="B565" t="s">
        <v>368</v>
      </c>
      <c r="C565" t="s">
        <v>375</v>
      </c>
      <c r="D565" t="s">
        <v>369</v>
      </c>
      <c r="E565" t="s">
        <v>1588</v>
      </c>
      <c r="F565" t="s">
        <v>459</v>
      </c>
      <c r="G565">
        <v>195345</v>
      </c>
      <c r="H565">
        <v>0</v>
      </c>
      <c r="I565">
        <v>3.9</v>
      </c>
      <c r="J565">
        <v>70</v>
      </c>
      <c r="K565">
        <v>0</v>
      </c>
      <c r="L565" t="s">
        <v>50</v>
      </c>
    </row>
    <row r="566" spans="1:12">
      <c r="A566" t="s">
        <v>1589</v>
      </c>
      <c r="B566" t="s">
        <v>399</v>
      </c>
      <c r="C566" t="s">
        <v>375</v>
      </c>
      <c r="D566" t="s">
        <v>369</v>
      </c>
      <c r="E566" t="s">
        <v>1590</v>
      </c>
      <c r="G566">
        <v>149481</v>
      </c>
      <c r="H566">
        <v>0</v>
      </c>
      <c r="I566">
        <v>5</v>
      </c>
      <c r="J566">
        <v>88</v>
      </c>
      <c r="K566">
        <v>0</v>
      </c>
      <c r="L566" t="s">
        <v>50</v>
      </c>
    </row>
    <row r="567" spans="1:12">
      <c r="A567" t="s">
        <v>1591</v>
      </c>
      <c r="B567" t="s">
        <v>374</v>
      </c>
      <c r="C567" t="s">
        <v>382</v>
      </c>
      <c r="D567" t="s">
        <v>365</v>
      </c>
      <c r="E567" t="s">
        <v>1592</v>
      </c>
      <c r="G567">
        <v>177164</v>
      </c>
      <c r="H567">
        <v>0</v>
      </c>
      <c r="I567">
        <v>3.8</v>
      </c>
      <c r="J567">
        <v>62</v>
      </c>
      <c r="K567">
        <v>0</v>
      </c>
      <c r="L567" t="s">
        <v>93</v>
      </c>
    </row>
    <row r="568" spans="1:12">
      <c r="A568" t="s">
        <v>1593</v>
      </c>
      <c r="B568" t="s">
        <v>368</v>
      </c>
      <c r="C568" t="s">
        <v>4</v>
      </c>
      <c r="D568" t="s">
        <v>437</v>
      </c>
      <c r="E568" t="s">
        <v>1594</v>
      </c>
      <c r="G568">
        <v>298746</v>
      </c>
      <c r="H568">
        <v>341758</v>
      </c>
      <c r="I568">
        <v>2.7</v>
      </c>
      <c r="J568">
        <v>56</v>
      </c>
      <c r="K568">
        <v>3</v>
      </c>
      <c r="L568" t="s">
        <v>50</v>
      </c>
    </row>
    <row r="569" spans="1:12">
      <c r="A569" t="s">
        <v>1595</v>
      </c>
      <c r="B569" t="s">
        <v>374</v>
      </c>
      <c r="C569" t="s">
        <v>375</v>
      </c>
      <c r="D569" t="s">
        <v>437</v>
      </c>
      <c r="E569" t="s">
        <v>1596</v>
      </c>
      <c r="F569" t="s">
        <v>1597</v>
      </c>
      <c r="G569">
        <v>251898</v>
      </c>
      <c r="H569">
        <v>0</v>
      </c>
      <c r="I569">
        <v>2.2000000000000002</v>
      </c>
      <c r="J569">
        <v>95</v>
      </c>
      <c r="K569">
        <v>2</v>
      </c>
      <c r="L569" t="s">
        <v>50</v>
      </c>
    </row>
    <row r="570" spans="1:12">
      <c r="A570" t="s">
        <v>1598</v>
      </c>
      <c r="B570" t="s">
        <v>363</v>
      </c>
      <c r="C570" t="s">
        <v>382</v>
      </c>
      <c r="D570" t="s">
        <v>369</v>
      </c>
      <c r="E570" t="s">
        <v>1599</v>
      </c>
      <c r="G570">
        <v>140976</v>
      </c>
      <c r="H570">
        <v>0</v>
      </c>
      <c r="I570">
        <v>3.8</v>
      </c>
      <c r="J570">
        <v>42</v>
      </c>
      <c r="K570">
        <v>0</v>
      </c>
      <c r="L570" t="s">
        <v>50</v>
      </c>
    </row>
    <row r="571" spans="1:12">
      <c r="A571" t="s">
        <v>1600</v>
      </c>
      <c r="B571" t="s">
        <v>399</v>
      </c>
      <c r="C571" t="s">
        <v>364</v>
      </c>
      <c r="D571" t="s">
        <v>387</v>
      </c>
      <c r="E571" t="s">
        <v>1601</v>
      </c>
      <c r="G571">
        <v>64804</v>
      </c>
      <c r="H571">
        <v>16775</v>
      </c>
      <c r="I571">
        <v>2</v>
      </c>
      <c r="J571">
        <v>69</v>
      </c>
      <c r="K571">
        <v>0</v>
      </c>
      <c r="L571" t="s">
        <v>50</v>
      </c>
    </row>
    <row r="572" spans="1:12">
      <c r="A572" t="s">
        <v>1602</v>
      </c>
      <c r="B572" t="s">
        <v>368</v>
      </c>
      <c r="C572" t="s">
        <v>382</v>
      </c>
      <c r="D572" t="s">
        <v>417</v>
      </c>
      <c r="E572" t="s">
        <v>1603</v>
      </c>
      <c r="G572">
        <v>276715</v>
      </c>
      <c r="H572">
        <v>43774</v>
      </c>
      <c r="I572">
        <v>4.9000000000000004</v>
      </c>
      <c r="J572">
        <v>84</v>
      </c>
      <c r="K572">
        <v>0</v>
      </c>
      <c r="L572" t="s">
        <v>50</v>
      </c>
    </row>
    <row r="573" spans="1:12">
      <c r="A573" t="s">
        <v>1604</v>
      </c>
      <c r="B573" t="s">
        <v>363</v>
      </c>
      <c r="C573" t="s">
        <v>375</v>
      </c>
      <c r="D573" t="s">
        <v>369</v>
      </c>
      <c r="E573" t="s">
        <v>1605</v>
      </c>
      <c r="G573">
        <v>161646</v>
      </c>
      <c r="H573">
        <v>0</v>
      </c>
      <c r="I573">
        <v>3.7</v>
      </c>
      <c r="J573">
        <v>98</v>
      </c>
      <c r="K573">
        <v>1</v>
      </c>
      <c r="L573" t="s">
        <v>50</v>
      </c>
    </row>
    <row r="574" spans="1:12">
      <c r="A574" t="s">
        <v>1606</v>
      </c>
      <c r="B574" t="s">
        <v>399</v>
      </c>
      <c r="C574" t="s">
        <v>382</v>
      </c>
      <c r="D574" t="s">
        <v>417</v>
      </c>
      <c r="E574" t="s">
        <v>1607</v>
      </c>
      <c r="G574">
        <v>221755</v>
      </c>
      <c r="H574">
        <v>23580</v>
      </c>
      <c r="I574">
        <v>4</v>
      </c>
      <c r="J574">
        <v>50</v>
      </c>
      <c r="K574">
        <v>1</v>
      </c>
      <c r="L574" t="s">
        <v>50</v>
      </c>
    </row>
    <row r="575" spans="1:12">
      <c r="A575" t="s">
        <v>1608</v>
      </c>
      <c r="B575" t="s">
        <v>374</v>
      </c>
      <c r="C575" t="s">
        <v>375</v>
      </c>
      <c r="D575" t="s">
        <v>365</v>
      </c>
      <c r="E575" t="s">
        <v>496</v>
      </c>
      <c r="G575">
        <v>231480</v>
      </c>
      <c r="H575">
        <v>0</v>
      </c>
      <c r="I575">
        <v>3.2</v>
      </c>
      <c r="J575">
        <v>42</v>
      </c>
      <c r="K575">
        <v>2</v>
      </c>
      <c r="L575" t="s">
        <v>50</v>
      </c>
    </row>
    <row r="576" spans="1:12">
      <c r="A576" t="s">
        <v>1609</v>
      </c>
      <c r="B576" t="s">
        <v>363</v>
      </c>
      <c r="C576" t="s">
        <v>364</v>
      </c>
      <c r="D576" t="s">
        <v>387</v>
      </c>
      <c r="E576" t="s">
        <v>1610</v>
      </c>
      <c r="G576">
        <v>57809</v>
      </c>
      <c r="H576">
        <v>21202</v>
      </c>
      <c r="I576">
        <v>1.7</v>
      </c>
      <c r="J576">
        <v>73</v>
      </c>
      <c r="K576">
        <v>2</v>
      </c>
      <c r="L576" t="s">
        <v>50</v>
      </c>
    </row>
    <row r="577" spans="1:12">
      <c r="A577" t="s">
        <v>1611</v>
      </c>
      <c r="B577" t="s">
        <v>368</v>
      </c>
      <c r="C577" t="s">
        <v>382</v>
      </c>
      <c r="D577" t="s">
        <v>378</v>
      </c>
      <c r="E577" t="s">
        <v>1246</v>
      </c>
      <c r="G577">
        <v>516691</v>
      </c>
      <c r="H577">
        <v>35201</v>
      </c>
      <c r="I577">
        <v>2.1</v>
      </c>
      <c r="J577">
        <v>55</v>
      </c>
      <c r="K577">
        <v>0</v>
      </c>
      <c r="L577" t="s">
        <v>50</v>
      </c>
    </row>
    <row r="578" spans="1:12">
      <c r="A578" t="s">
        <v>1612</v>
      </c>
      <c r="B578" t="s">
        <v>368</v>
      </c>
      <c r="C578" t="s">
        <v>382</v>
      </c>
      <c r="D578" t="s">
        <v>369</v>
      </c>
      <c r="E578" t="s">
        <v>1613</v>
      </c>
      <c r="G578">
        <v>235239</v>
      </c>
      <c r="H578">
        <v>44738</v>
      </c>
      <c r="I578">
        <v>4.3</v>
      </c>
      <c r="J578">
        <v>92</v>
      </c>
      <c r="K578">
        <v>1</v>
      </c>
      <c r="L578" t="s">
        <v>50</v>
      </c>
    </row>
    <row r="579" spans="1:12">
      <c r="A579" t="s">
        <v>1614</v>
      </c>
      <c r="B579" t="s">
        <v>374</v>
      </c>
      <c r="C579" t="s">
        <v>382</v>
      </c>
      <c r="D579" t="s">
        <v>383</v>
      </c>
      <c r="E579" t="s">
        <v>1615</v>
      </c>
      <c r="F579" t="s">
        <v>1616</v>
      </c>
      <c r="G579">
        <v>99332</v>
      </c>
      <c r="H579">
        <v>0</v>
      </c>
      <c r="I579">
        <v>2</v>
      </c>
      <c r="J579">
        <v>65</v>
      </c>
      <c r="K579">
        <v>0</v>
      </c>
      <c r="L579" t="s">
        <v>50</v>
      </c>
    </row>
    <row r="580" spans="1:12">
      <c r="A580" t="s">
        <v>1617</v>
      </c>
      <c r="B580" t="s">
        <v>368</v>
      </c>
      <c r="C580" t="s">
        <v>364</v>
      </c>
      <c r="D580" t="s">
        <v>383</v>
      </c>
      <c r="E580" t="s">
        <v>1618</v>
      </c>
      <c r="G580">
        <v>97074</v>
      </c>
      <c r="H580">
        <v>0</v>
      </c>
      <c r="I580">
        <v>3.5</v>
      </c>
      <c r="J580">
        <v>67</v>
      </c>
      <c r="K580">
        <v>0</v>
      </c>
      <c r="L580" t="s">
        <v>50</v>
      </c>
    </row>
    <row r="581" spans="1:12">
      <c r="A581" t="s">
        <v>1619</v>
      </c>
      <c r="B581" t="s">
        <v>374</v>
      </c>
      <c r="C581" t="s">
        <v>375</v>
      </c>
      <c r="D581" t="s">
        <v>365</v>
      </c>
      <c r="E581" t="s">
        <v>1620</v>
      </c>
      <c r="G581">
        <v>274800</v>
      </c>
      <c r="H581">
        <v>23557</v>
      </c>
      <c r="I581">
        <v>4.5999999999999996</v>
      </c>
      <c r="J581">
        <v>84</v>
      </c>
      <c r="K581">
        <v>0</v>
      </c>
      <c r="L581" t="s">
        <v>50</v>
      </c>
    </row>
    <row r="582" spans="1:12">
      <c r="A582" t="s">
        <v>1621</v>
      </c>
      <c r="B582" t="s">
        <v>399</v>
      </c>
      <c r="C582" t="s">
        <v>382</v>
      </c>
      <c r="D582" t="s">
        <v>369</v>
      </c>
      <c r="E582" t="s">
        <v>1622</v>
      </c>
      <c r="G582">
        <v>214917</v>
      </c>
      <c r="H582">
        <v>0</v>
      </c>
      <c r="I582">
        <v>1.1000000000000001</v>
      </c>
      <c r="J582">
        <v>82</v>
      </c>
      <c r="K582">
        <v>2</v>
      </c>
      <c r="L582" t="s">
        <v>50</v>
      </c>
    </row>
    <row r="583" spans="1:12">
      <c r="A583" t="s">
        <v>1623</v>
      </c>
      <c r="B583" t="s">
        <v>368</v>
      </c>
      <c r="C583" t="s">
        <v>4</v>
      </c>
      <c r="D583" t="s">
        <v>383</v>
      </c>
      <c r="E583" t="s">
        <v>1624</v>
      </c>
      <c r="G583">
        <v>145238</v>
      </c>
      <c r="H583">
        <v>997406</v>
      </c>
      <c r="I583">
        <v>2.9</v>
      </c>
      <c r="J583">
        <v>74</v>
      </c>
      <c r="K583">
        <v>0</v>
      </c>
      <c r="L583" t="s">
        <v>50</v>
      </c>
    </row>
    <row r="584" spans="1:12">
      <c r="A584" t="s">
        <v>1625</v>
      </c>
      <c r="B584" t="s">
        <v>368</v>
      </c>
      <c r="C584" t="s">
        <v>364</v>
      </c>
      <c r="D584" t="s">
        <v>378</v>
      </c>
      <c r="E584" t="s">
        <v>1626</v>
      </c>
      <c r="G584">
        <v>386827</v>
      </c>
      <c r="H584">
        <v>0</v>
      </c>
      <c r="I584">
        <v>2.6</v>
      </c>
      <c r="J584">
        <v>77</v>
      </c>
      <c r="K584">
        <v>0</v>
      </c>
      <c r="L584" t="s">
        <v>50</v>
      </c>
    </row>
    <row r="585" spans="1:12">
      <c r="A585" t="s">
        <v>1627</v>
      </c>
      <c r="B585" t="s">
        <v>363</v>
      </c>
      <c r="C585" t="s">
        <v>375</v>
      </c>
      <c r="D585" t="s">
        <v>369</v>
      </c>
      <c r="E585" t="s">
        <v>1628</v>
      </c>
      <c r="G585">
        <v>156396</v>
      </c>
      <c r="H585">
        <v>35993</v>
      </c>
      <c r="I585">
        <v>2.8</v>
      </c>
      <c r="J585">
        <v>45</v>
      </c>
      <c r="K585">
        <v>0</v>
      </c>
      <c r="L585" t="s">
        <v>93</v>
      </c>
    </row>
    <row r="586" spans="1:12">
      <c r="A586" t="s">
        <v>1629</v>
      </c>
      <c r="B586" t="s">
        <v>368</v>
      </c>
      <c r="C586" t="s">
        <v>382</v>
      </c>
      <c r="D586" t="s">
        <v>369</v>
      </c>
      <c r="E586" t="s">
        <v>1630</v>
      </c>
      <c r="G586">
        <v>221055</v>
      </c>
      <c r="H586">
        <v>16011</v>
      </c>
      <c r="I586">
        <v>4.3</v>
      </c>
      <c r="J586">
        <v>52</v>
      </c>
      <c r="K586">
        <v>0</v>
      </c>
      <c r="L586" t="s">
        <v>50</v>
      </c>
    </row>
    <row r="587" spans="1:12">
      <c r="A587" t="s">
        <v>1631</v>
      </c>
      <c r="B587" t="s">
        <v>399</v>
      </c>
      <c r="C587" t="s">
        <v>364</v>
      </c>
      <c r="D587" t="s">
        <v>417</v>
      </c>
      <c r="E587" t="s">
        <v>1632</v>
      </c>
      <c r="G587">
        <v>367270</v>
      </c>
      <c r="H587">
        <v>0</v>
      </c>
      <c r="I587">
        <v>3.9</v>
      </c>
      <c r="J587">
        <v>59</v>
      </c>
      <c r="K587">
        <v>1</v>
      </c>
      <c r="L587" t="s">
        <v>50</v>
      </c>
    </row>
    <row r="588" spans="1:12">
      <c r="A588" t="s">
        <v>1633</v>
      </c>
      <c r="B588" t="s">
        <v>363</v>
      </c>
      <c r="C588" t="s">
        <v>375</v>
      </c>
      <c r="D588" t="s">
        <v>378</v>
      </c>
      <c r="E588" t="s">
        <v>1634</v>
      </c>
      <c r="G588">
        <v>411404</v>
      </c>
      <c r="H588">
        <v>0</v>
      </c>
      <c r="I588">
        <v>1</v>
      </c>
      <c r="J588">
        <v>61</v>
      </c>
      <c r="K588">
        <v>0</v>
      </c>
      <c r="L588" t="s">
        <v>50</v>
      </c>
    </row>
    <row r="589" spans="1:12">
      <c r="A589" t="s">
        <v>1635</v>
      </c>
      <c r="B589" t="s">
        <v>368</v>
      </c>
      <c r="C589" t="s">
        <v>382</v>
      </c>
      <c r="D589" t="s">
        <v>383</v>
      </c>
      <c r="E589" t="s">
        <v>1212</v>
      </c>
      <c r="G589">
        <v>115286</v>
      </c>
      <c r="H589">
        <v>0</v>
      </c>
      <c r="I589">
        <v>4.0999999999999996</v>
      </c>
      <c r="J589">
        <v>60</v>
      </c>
      <c r="K589">
        <v>3</v>
      </c>
      <c r="L589" t="s">
        <v>50</v>
      </c>
    </row>
    <row r="590" spans="1:12">
      <c r="A590" t="s">
        <v>1636</v>
      </c>
      <c r="B590" t="s">
        <v>368</v>
      </c>
      <c r="C590" t="s">
        <v>375</v>
      </c>
      <c r="D590" t="s">
        <v>387</v>
      </c>
      <c r="E590" t="s">
        <v>1637</v>
      </c>
      <c r="G590">
        <v>50464</v>
      </c>
      <c r="H590">
        <v>0</v>
      </c>
      <c r="I590">
        <v>3.3</v>
      </c>
      <c r="J590">
        <v>44</v>
      </c>
      <c r="K590">
        <v>2</v>
      </c>
      <c r="L590" t="s">
        <v>50</v>
      </c>
    </row>
    <row r="591" spans="1:12">
      <c r="A591" t="s">
        <v>1638</v>
      </c>
      <c r="B591" t="s">
        <v>368</v>
      </c>
      <c r="C591" t="s">
        <v>375</v>
      </c>
      <c r="D591" t="s">
        <v>417</v>
      </c>
      <c r="E591" t="s">
        <v>1639</v>
      </c>
      <c r="G591">
        <v>338750</v>
      </c>
      <c r="H591">
        <v>0</v>
      </c>
      <c r="I591">
        <v>4</v>
      </c>
      <c r="J591">
        <v>89</v>
      </c>
      <c r="K591">
        <v>1</v>
      </c>
      <c r="L591" t="s">
        <v>50</v>
      </c>
    </row>
    <row r="592" spans="1:12">
      <c r="A592" t="s">
        <v>1640</v>
      </c>
      <c r="B592" t="s">
        <v>399</v>
      </c>
      <c r="C592" t="s">
        <v>364</v>
      </c>
      <c r="D592" t="s">
        <v>417</v>
      </c>
      <c r="E592" t="s">
        <v>1641</v>
      </c>
      <c r="G592">
        <v>206835</v>
      </c>
      <c r="H592">
        <v>0</v>
      </c>
      <c r="I592">
        <v>4.3</v>
      </c>
      <c r="J592">
        <v>86</v>
      </c>
      <c r="K592">
        <v>2</v>
      </c>
      <c r="L592" t="s">
        <v>50</v>
      </c>
    </row>
    <row r="593" spans="1:12">
      <c r="A593" t="s">
        <v>1642</v>
      </c>
      <c r="B593" t="s">
        <v>363</v>
      </c>
      <c r="C593" t="s">
        <v>375</v>
      </c>
      <c r="D593" t="s">
        <v>378</v>
      </c>
      <c r="E593" t="s">
        <v>1643</v>
      </c>
      <c r="F593" t="s">
        <v>1644</v>
      </c>
      <c r="G593">
        <v>482769</v>
      </c>
      <c r="H593">
        <v>13567</v>
      </c>
      <c r="I593">
        <v>1.9</v>
      </c>
      <c r="J593">
        <v>83</v>
      </c>
      <c r="K593">
        <v>0</v>
      </c>
      <c r="L593" t="s">
        <v>50</v>
      </c>
    </row>
    <row r="594" spans="1:12">
      <c r="A594" t="s">
        <v>1645</v>
      </c>
      <c r="B594" t="s">
        <v>368</v>
      </c>
      <c r="C594" t="s">
        <v>382</v>
      </c>
      <c r="D594" t="s">
        <v>378</v>
      </c>
      <c r="E594" t="s">
        <v>1646</v>
      </c>
      <c r="G594">
        <v>536354</v>
      </c>
      <c r="H594">
        <v>0</v>
      </c>
      <c r="I594">
        <v>1.3</v>
      </c>
      <c r="J594">
        <v>99</v>
      </c>
      <c r="K594">
        <v>0</v>
      </c>
      <c r="L594" t="s">
        <v>50</v>
      </c>
    </row>
    <row r="595" spans="1:12">
      <c r="A595" t="s">
        <v>1647</v>
      </c>
      <c r="B595" t="s">
        <v>363</v>
      </c>
      <c r="C595" t="s">
        <v>375</v>
      </c>
      <c r="D595" t="s">
        <v>417</v>
      </c>
      <c r="E595" t="s">
        <v>1648</v>
      </c>
      <c r="G595">
        <v>268185</v>
      </c>
      <c r="H595">
        <v>0</v>
      </c>
      <c r="I595">
        <v>2.8</v>
      </c>
      <c r="J595">
        <v>82</v>
      </c>
      <c r="K595">
        <v>2</v>
      </c>
      <c r="L595" t="s">
        <v>50</v>
      </c>
    </row>
    <row r="596" spans="1:12">
      <c r="A596" t="s">
        <v>1649</v>
      </c>
      <c r="B596" t="s">
        <v>374</v>
      </c>
      <c r="C596" t="s">
        <v>375</v>
      </c>
      <c r="D596" t="s">
        <v>387</v>
      </c>
      <c r="E596" t="s">
        <v>1650</v>
      </c>
      <c r="G596">
        <v>75367</v>
      </c>
      <c r="H596">
        <v>0</v>
      </c>
      <c r="I596">
        <v>4.5999999999999996</v>
      </c>
      <c r="J596">
        <v>78</v>
      </c>
      <c r="K596">
        <v>0</v>
      </c>
      <c r="L596" t="s">
        <v>50</v>
      </c>
    </row>
    <row r="597" spans="1:12">
      <c r="A597" t="s">
        <v>1651</v>
      </c>
      <c r="B597" t="s">
        <v>374</v>
      </c>
      <c r="C597" t="s">
        <v>375</v>
      </c>
      <c r="D597" t="s">
        <v>378</v>
      </c>
      <c r="E597" t="s">
        <v>1652</v>
      </c>
      <c r="G597">
        <v>336189</v>
      </c>
      <c r="H597">
        <v>0</v>
      </c>
      <c r="I597">
        <v>1.4</v>
      </c>
      <c r="J597">
        <v>71</v>
      </c>
      <c r="K597">
        <v>0</v>
      </c>
      <c r="L597" t="s">
        <v>50</v>
      </c>
    </row>
    <row r="598" spans="1:12">
      <c r="A598" t="s">
        <v>1653</v>
      </c>
      <c r="B598" t="s">
        <v>368</v>
      </c>
      <c r="C598" t="s">
        <v>4</v>
      </c>
      <c r="D598" t="s">
        <v>417</v>
      </c>
      <c r="E598" t="s">
        <v>1654</v>
      </c>
      <c r="G598">
        <v>261690</v>
      </c>
      <c r="H598">
        <v>1995027</v>
      </c>
      <c r="I598">
        <v>3.2</v>
      </c>
      <c r="J598">
        <v>41</v>
      </c>
      <c r="K598">
        <v>0</v>
      </c>
      <c r="L598" t="s">
        <v>50</v>
      </c>
    </row>
    <row r="599" spans="1:12">
      <c r="A599" t="s">
        <v>1655</v>
      </c>
      <c r="B599" t="s">
        <v>374</v>
      </c>
      <c r="C599" t="s">
        <v>364</v>
      </c>
      <c r="D599" t="s">
        <v>365</v>
      </c>
      <c r="E599" t="s">
        <v>1656</v>
      </c>
      <c r="G599">
        <v>199548</v>
      </c>
      <c r="H599">
        <v>31934</v>
      </c>
      <c r="I599">
        <v>3.4</v>
      </c>
      <c r="J599">
        <v>99</v>
      </c>
      <c r="K599">
        <v>2</v>
      </c>
      <c r="L599" t="s">
        <v>50</v>
      </c>
    </row>
    <row r="600" spans="1:12">
      <c r="A600" t="s">
        <v>1657</v>
      </c>
      <c r="B600" t="s">
        <v>363</v>
      </c>
      <c r="C600" t="s">
        <v>375</v>
      </c>
      <c r="D600" t="s">
        <v>437</v>
      </c>
      <c r="E600" t="s">
        <v>839</v>
      </c>
      <c r="G600">
        <v>249036</v>
      </c>
      <c r="H600">
        <v>0</v>
      </c>
      <c r="I600">
        <v>1.1000000000000001</v>
      </c>
      <c r="J600">
        <v>77</v>
      </c>
      <c r="K600">
        <v>0</v>
      </c>
      <c r="L600" t="s">
        <v>50</v>
      </c>
    </row>
    <row r="601" spans="1:12">
      <c r="A601" t="s">
        <v>1658</v>
      </c>
      <c r="B601" t="s">
        <v>374</v>
      </c>
      <c r="C601" t="s">
        <v>4</v>
      </c>
      <c r="D601" t="s">
        <v>369</v>
      </c>
      <c r="E601" t="s">
        <v>1659</v>
      </c>
      <c r="G601">
        <v>129090</v>
      </c>
      <c r="H601">
        <v>851365</v>
      </c>
      <c r="I601">
        <v>3.8</v>
      </c>
      <c r="J601">
        <v>55</v>
      </c>
      <c r="K601">
        <v>1</v>
      </c>
      <c r="L601" t="s">
        <v>93</v>
      </c>
    </row>
    <row r="602" spans="1:12">
      <c r="A602" t="s">
        <v>1660</v>
      </c>
      <c r="B602" t="s">
        <v>374</v>
      </c>
      <c r="C602" t="s">
        <v>364</v>
      </c>
      <c r="D602" t="s">
        <v>383</v>
      </c>
      <c r="E602" t="s">
        <v>1661</v>
      </c>
      <c r="F602" t="s">
        <v>1662</v>
      </c>
      <c r="G602">
        <v>140696</v>
      </c>
      <c r="H602">
        <v>0</v>
      </c>
      <c r="I602">
        <v>3.5</v>
      </c>
      <c r="J602">
        <v>59</v>
      </c>
      <c r="K602">
        <v>0</v>
      </c>
      <c r="L602" t="s">
        <v>50</v>
      </c>
    </row>
    <row r="603" spans="1:12">
      <c r="A603" t="s">
        <v>1663</v>
      </c>
      <c r="B603" t="s">
        <v>368</v>
      </c>
      <c r="C603" t="s">
        <v>375</v>
      </c>
      <c r="D603" t="s">
        <v>383</v>
      </c>
      <c r="E603" t="s">
        <v>1664</v>
      </c>
      <c r="F603" t="s">
        <v>504</v>
      </c>
      <c r="G603">
        <v>159724</v>
      </c>
      <c r="H603">
        <v>33470</v>
      </c>
      <c r="I603">
        <v>1</v>
      </c>
      <c r="J603">
        <v>99</v>
      </c>
      <c r="K603">
        <v>0</v>
      </c>
      <c r="L603" t="s">
        <v>93</v>
      </c>
    </row>
    <row r="604" spans="1:12">
      <c r="A604" t="s">
        <v>1665</v>
      </c>
      <c r="B604" t="s">
        <v>368</v>
      </c>
      <c r="C604" t="s">
        <v>382</v>
      </c>
      <c r="D604" t="s">
        <v>365</v>
      </c>
      <c r="E604" t="s">
        <v>1242</v>
      </c>
      <c r="F604" t="s">
        <v>1666</v>
      </c>
      <c r="G604">
        <v>219460</v>
      </c>
      <c r="H604">
        <v>20589</v>
      </c>
      <c r="I604">
        <v>3.2</v>
      </c>
      <c r="J604">
        <v>42</v>
      </c>
      <c r="K604">
        <v>0</v>
      </c>
      <c r="L604" t="s">
        <v>50</v>
      </c>
    </row>
    <row r="605" spans="1:12">
      <c r="A605" t="s">
        <v>1667</v>
      </c>
      <c r="B605" t="s">
        <v>368</v>
      </c>
      <c r="C605" t="s">
        <v>382</v>
      </c>
      <c r="D605" t="s">
        <v>417</v>
      </c>
      <c r="E605" t="s">
        <v>1668</v>
      </c>
      <c r="G605">
        <v>265380</v>
      </c>
      <c r="H605">
        <v>0</v>
      </c>
      <c r="I605">
        <v>4.9000000000000004</v>
      </c>
      <c r="J605">
        <v>64</v>
      </c>
      <c r="K605">
        <v>0</v>
      </c>
      <c r="L605" t="s">
        <v>50</v>
      </c>
    </row>
    <row r="606" spans="1:12">
      <c r="A606" t="s">
        <v>1669</v>
      </c>
      <c r="B606" t="s">
        <v>368</v>
      </c>
      <c r="C606" t="s">
        <v>4</v>
      </c>
      <c r="D606" t="s">
        <v>387</v>
      </c>
      <c r="E606" t="s">
        <v>1670</v>
      </c>
      <c r="G606">
        <v>60241</v>
      </c>
      <c r="H606">
        <v>338816</v>
      </c>
      <c r="I606">
        <v>2</v>
      </c>
      <c r="J606">
        <v>94</v>
      </c>
      <c r="K606">
        <v>2</v>
      </c>
      <c r="L606" t="s">
        <v>50</v>
      </c>
    </row>
    <row r="607" spans="1:12">
      <c r="A607" t="s">
        <v>1671</v>
      </c>
      <c r="B607" t="s">
        <v>374</v>
      </c>
      <c r="C607" t="s">
        <v>375</v>
      </c>
      <c r="D607" t="s">
        <v>365</v>
      </c>
      <c r="E607" t="s">
        <v>1672</v>
      </c>
      <c r="G607">
        <v>186408</v>
      </c>
      <c r="H607">
        <v>0</v>
      </c>
      <c r="I607">
        <v>3.4</v>
      </c>
      <c r="J607">
        <v>75</v>
      </c>
      <c r="K607">
        <v>0</v>
      </c>
      <c r="L607" t="s">
        <v>50</v>
      </c>
    </row>
    <row r="608" spans="1:12">
      <c r="A608" t="s">
        <v>1673</v>
      </c>
      <c r="B608" t="s">
        <v>399</v>
      </c>
      <c r="C608" t="s">
        <v>382</v>
      </c>
      <c r="D608" t="s">
        <v>417</v>
      </c>
      <c r="E608" t="s">
        <v>1674</v>
      </c>
      <c r="G608">
        <v>372645</v>
      </c>
      <c r="H608">
        <v>0</v>
      </c>
      <c r="I608">
        <v>1.8</v>
      </c>
      <c r="J608">
        <v>49</v>
      </c>
      <c r="K608">
        <v>2</v>
      </c>
      <c r="L608" t="s">
        <v>50</v>
      </c>
    </row>
    <row r="609" spans="1:12">
      <c r="A609" t="s">
        <v>1675</v>
      </c>
      <c r="B609" t="s">
        <v>363</v>
      </c>
      <c r="C609" t="s">
        <v>375</v>
      </c>
      <c r="D609" t="s">
        <v>369</v>
      </c>
      <c r="E609" t="s">
        <v>1676</v>
      </c>
      <c r="G609">
        <v>231930</v>
      </c>
      <c r="H609">
        <v>30049</v>
      </c>
      <c r="I609">
        <v>3.8</v>
      </c>
      <c r="J609">
        <v>77</v>
      </c>
      <c r="K609">
        <v>1</v>
      </c>
      <c r="L609" t="s">
        <v>50</v>
      </c>
    </row>
    <row r="610" spans="1:12">
      <c r="A610" t="s">
        <v>1677</v>
      </c>
      <c r="B610" t="s">
        <v>399</v>
      </c>
      <c r="C610" t="s">
        <v>382</v>
      </c>
      <c r="D610" t="s">
        <v>437</v>
      </c>
      <c r="E610" t="s">
        <v>1678</v>
      </c>
      <c r="G610">
        <v>451266</v>
      </c>
      <c r="H610">
        <v>0</v>
      </c>
      <c r="I610">
        <v>1.5</v>
      </c>
      <c r="J610">
        <v>87</v>
      </c>
      <c r="K610">
        <v>2</v>
      </c>
      <c r="L610" t="s">
        <v>50</v>
      </c>
    </row>
    <row r="611" spans="1:12">
      <c r="A611" t="s">
        <v>1679</v>
      </c>
      <c r="B611" t="s">
        <v>399</v>
      </c>
      <c r="C611" t="s">
        <v>4</v>
      </c>
      <c r="D611" t="s">
        <v>417</v>
      </c>
      <c r="E611" t="s">
        <v>1680</v>
      </c>
      <c r="G611">
        <v>391000</v>
      </c>
      <c r="H611">
        <v>2310959</v>
      </c>
      <c r="I611">
        <v>1.7</v>
      </c>
      <c r="J611">
        <v>53</v>
      </c>
      <c r="K611">
        <v>1</v>
      </c>
      <c r="L611" t="s">
        <v>50</v>
      </c>
    </row>
    <row r="612" spans="1:12">
      <c r="A612" t="s">
        <v>1681</v>
      </c>
      <c r="B612" t="s">
        <v>399</v>
      </c>
      <c r="C612" t="s">
        <v>364</v>
      </c>
      <c r="D612" t="s">
        <v>437</v>
      </c>
      <c r="E612" t="s">
        <v>1682</v>
      </c>
      <c r="G612">
        <v>277728</v>
      </c>
      <c r="H612">
        <v>11314</v>
      </c>
      <c r="I612">
        <v>3.4</v>
      </c>
      <c r="J612">
        <v>41</v>
      </c>
      <c r="K612">
        <v>1</v>
      </c>
      <c r="L612" t="s">
        <v>50</v>
      </c>
    </row>
    <row r="613" spans="1:12">
      <c r="A613" t="s">
        <v>1683</v>
      </c>
      <c r="B613" t="s">
        <v>374</v>
      </c>
      <c r="C613" t="s">
        <v>364</v>
      </c>
      <c r="D613" t="s">
        <v>365</v>
      </c>
      <c r="E613" t="s">
        <v>1684</v>
      </c>
      <c r="G613">
        <v>216928</v>
      </c>
      <c r="H613">
        <v>40447</v>
      </c>
      <c r="I613">
        <v>4.4000000000000004</v>
      </c>
      <c r="J613">
        <v>47</v>
      </c>
      <c r="K613">
        <v>0</v>
      </c>
      <c r="L613" t="s">
        <v>50</v>
      </c>
    </row>
    <row r="614" spans="1:12">
      <c r="A614" t="s">
        <v>1685</v>
      </c>
      <c r="B614" t="s">
        <v>368</v>
      </c>
      <c r="C614" t="s">
        <v>364</v>
      </c>
      <c r="D614" t="s">
        <v>369</v>
      </c>
      <c r="E614" t="s">
        <v>1686</v>
      </c>
      <c r="F614" t="s">
        <v>1687</v>
      </c>
      <c r="G614">
        <v>129018</v>
      </c>
      <c r="H614">
        <v>0</v>
      </c>
      <c r="I614">
        <v>3.8</v>
      </c>
      <c r="J614">
        <v>53</v>
      </c>
      <c r="K614">
        <v>3</v>
      </c>
      <c r="L614" t="s">
        <v>50</v>
      </c>
    </row>
    <row r="615" spans="1:12">
      <c r="A615" t="s">
        <v>1688</v>
      </c>
      <c r="B615" t="s">
        <v>363</v>
      </c>
      <c r="C615" t="s">
        <v>364</v>
      </c>
      <c r="D615" t="s">
        <v>378</v>
      </c>
      <c r="E615" t="s">
        <v>1689</v>
      </c>
      <c r="G615">
        <v>344736</v>
      </c>
      <c r="H615">
        <v>0</v>
      </c>
      <c r="I615">
        <v>4.0999999999999996</v>
      </c>
      <c r="J615">
        <v>87</v>
      </c>
      <c r="K615">
        <v>0</v>
      </c>
      <c r="L615" t="s">
        <v>50</v>
      </c>
    </row>
    <row r="616" spans="1:12">
      <c r="A616" t="s">
        <v>1690</v>
      </c>
      <c r="B616" t="s">
        <v>399</v>
      </c>
      <c r="C616" t="s">
        <v>364</v>
      </c>
      <c r="D616" t="s">
        <v>369</v>
      </c>
      <c r="E616" t="s">
        <v>1691</v>
      </c>
      <c r="G616">
        <v>147675</v>
      </c>
      <c r="H616">
        <v>0</v>
      </c>
      <c r="I616">
        <v>2.8</v>
      </c>
      <c r="J616">
        <v>65</v>
      </c>
      <c r="K616">
        <v>1</v>
      </c>
      <c r="L616" t="s">
        <v>50</v>
      </c>
    </row>
    <row r="617" spans="1:12">
      <c r="A617" t="s">
        <v>1692</v>
      </c>
      <c r="B617" t="s">
        <v>368</v>
      </c>
      <c r="C617" t="s">
        <v>4</v>
      </c>
      <c r="D617" t="s">
        <v>365</v>
      </c>
      <c r="E617" t="s">
        <v>1560</v>
      </c>
      <c r="G617">
        <v>275512</v>
      </c>
      <c r="H617">
        <v>222737</v>
      </c>
      <c r="I617">
        <v>1.6</v>
      </c>
      <c r="J617">
        <v>51</v>
      </c>
      <c r="K617">
        <v>0</v>
      </c>
      <c r="L617" t="s">
        <v>50</v>
      </c>
    </row>
    <row r="618" spans="1:12">
      <c r="A618" t="s">
        <v>1693</v>
      </c>
      <c r="B618" t="s">
        <v>363</v>
      </c>
      <c r="C618" t="s">
        <v>364</v>
      </c>
      <c r="D618" t="s">
        <v>383</v>
      </c>
      <c r="E618" t="s">
        <v>1694</v>
      </c>
      <c r="F618" t="s">
        <v>1695</v>
      </c>
      <c r="G618">
        <v>133298</v>
      </c>
      <c r="H618">
        <v>0</v>
      </c>
      <c r="I618">
        <v>1.1000000000000001</v>
      </c>
      <c r="J618">
        <v>100</v>
      </c>
      <c r="K618">
        <v>0</v>
      </c>
      <c r="L618" t="s">
        <v>93</v>
      </c>
    </row>
    <row r="619" spans="1:12">
      <c r="A619" t="s">
        <v>1696</v>
      </c>
      <c r="B619" t="s">
        <v>363</v>
      </c>
      <c r="C619" t="s">
        <v>382</v>
      </c>
      <c r="D619" t="s">
        <v>369</v>
      </c>
      <c r="E619" t="s">
        <v>1697</v>
      </c>
      <c r="G619">
        <v>146925</v>
      </c>
      <c r="H619">
        <v>0</v>
      </c>
      <c r="I619">
        <v>4.9000000000000004</v>
      </c>
      <c r="J619">
        <v>79</v>
      </c>
      <c r="K619">
        <v>0</v>
      </c>
      <c r="L619" t="s">
        <v>50</v>
      </c>
    </row>
    <row r="620" spans="1:12">
      <c r="A620" t="s">
        <v>1698</v>
      </c>
      <c r="B620" t="s">
        <v>374</v>
      </c>
      <c r="C620" t="s">
        <v>4</v>
      </c>
      <c r="D620" t="s">
        <v>365</v>
      </c>
      <c r="E620" t="s">
        <v>1699</v>
      </c>
      <c r="G620">
        <v>186336</v>
      </c>
      <c r="H620">
        <v>1382598</v>
      </c>
      <c r="I620">
        <v>4.5</v>
      </c>
      <c r="J620">
        <v>69</v>
      </c>
      <c r="K620">
        <v>1</v>
      </c>
      <c r="L620" t="s">
        <v>50</v>
      </c>
    </row>
    <row r="621" spans="1:12">
      <c r="A621" t="s">
        <v>1700</v>
      </c>
      <c r="B621" t="s">
        <v>363</v>
      </c>
      <c r="C621" t="s">
        <v>382</v>
      </c>
      <c r="D621" t="s">
        <v>437</v>
      </c>
      <c r="E621" t="s">
        <v>1701</v>
      </c>
      <c r="G621">
        <v>381492</v>
      </c>
      <c r="H621">
        <v>0</v>
      </c>
      <c r="I621">
        <v>2.2999999999999998</v>
      </c>
      <c r="J621">
        <v>65</v>
      </c>
      <c r="K621">
        <v>0</v>
      </c>
      <c r="L621" t="s">
        <v>93</v>
      </c>
    </row>
    <row r="622" spans="1:12">
      <c r="A622" t="s">
        <v>1702</v>
      </c>
      <c r="B622" t="s">
        <v>363</v>
      </c>
      <c r="C622" t="s">
        <v>4</v>
      </c>
      <c r="D622" t="s">
        <v>417</v>
      </c>
      <c r="E622" t="s">
        <v>1703</v>
      </c>
      <c r="F622" t="s">
        <v>1704</v>
      </c>
      <c r="G622">
        <v>303850</v>
      </c>
      <c r="H622">
        <v>1698714</v>
      </c>
      <c r="I622">
        <v>1.9</v>
      </c>
      <c r="J622">
        <v>59</v>
      </c>
      <c r="K622">
        <v>0</v>
      </c>
      <c r="L622" t="s">
        <v>50</v>
      </c>
    </row>
    <row r="623" spans="1:12">
      <c r="A623" t="s">
        <v>1705</v>
      </c>
      <c r="B623" t="s">
        <v>363</v>
      </c>
      <c r="C623" t="s">
        <v>364</v>
      </c>
      <c r="D623" t="s">
        <v>378</v>
      </c>
      <c r="E623" t="s">
        <v>1706</v>
      </c>
      <c r="G623">
        <v>281498</v>
      </c>
      <c r="H623">
        <v>0</v>
      </c>
      <c r="I623">
        <v>4.3</v>
      </c>
      <c r="J623">
        <v>92</v>
      </c>
      <c r="K623">
        <v>1</v>
      </c>
      <c r="L623" t="s">
        <v>50</v>
      </c>
    </row>
    <row r="624" spans="1:12">
      <c r="A624" t="s">
        <v>1707</v>
      </c>
      <c r="B624" t="s">
        <v>374</v>
      </c>
      <c r="C624" t="s">
        <v>375</v>
      </c>
      <c r="D624" t="s">
        <v>417</v>
      </c>
      <c r="E624" t="s">
        <v>1708</v>
      </c>
      <c r="G624">
        <v>204075</v>
      </c>
      <c r="H624">
        <v>0</v>
      </c>
      <c r="I624">
        <v>3.8</v>
      </c>
      <c r="J624">
        <v>44</v>
      </c>
      <c r="K624">
        <v>2</v>
      </c>
      <c r="L624" t="s">
        <v>50</v>
      </c>
    </row>
    <row r="625" spans="1:12">
      <c r="A625" t="s">
        <v>1709</v>
      </c>
      <c r="B625" t="s">
        <v>399</v>
      </c>
      <c r="C625" t="s">
        <v>375</v>
      </c>
      <c r="D625" t="s">
        <v>365</v>
      </c>
      <c r="E625" t="s">
        <v>1710</v>
      </c>
      <c r="G625">
        <v>226032</v>
      </c>
      <c r="H625">
        <v>12813</v>
      </c>
      <c r="I625">
        <v>3.4</v>
      </c>
      <c r="J625">
        <v>40</v>
      </c>
      <c r="K625">
        <v>1</v>
      </c>
      <c r="L625" t="s">
        <v>50</v>
      </c>
    </row>
    <row r="626" spans="1:12">
      <c r="A626" t="s">
        <v>1711</v>
      </c>
      <c r="B626" t="s">
        <v>399</v>
      </c>
      <c r="C626" t="s">
        <v>4</v>
      </c>
      <c r="D626" t="s">
        <v>383</v>
      </c>
      <c r="E626" t="s">
        <v>1712</v>
      </c>
      <c r="G626">
        <v>90640</v>
      </c>
      <c r="H626">
        <v>896021</v>
      </c>
      <c r="I626">
        <v>1.5</v>
      </c>
      <c r="J626">
        <v>67</v>
      </c>
      <c r="K626">
        <v>1</v>
      </c>
      <c r="L626" t="s">
        <v>50</v>
      </c>
    </row>
    <row r="627" spans="1:12">
      <c r="A627" t="s">
        <v>1713</v>
      </c>
      <c r="B627" t="s">
        <v>399</v>
      </c>
      <c r="C627" t="s">
        <v>382</v>
      </c>
      <c r="D627" t="s">
        <v>437</v>
      </c>
      <c r="E627" t="s">
        <v>1714</v>
      </c>
      <c r="G627">
        <v>443046</v>
      </c>
      <c r="H627">
        <v>0</v>
      </c>
      <c r="I627">
        <v>4.2</v>
      </c>
      <c r="J627">
        <v>70</v>
      </c>
      <c r="K627">
        <v>0</v>
      </c>
      <c r="L627" t="s">
        <v>93</v>
      </c>
    </row>
    <row r="628" spans="1:12">
      <c r="A628" t="s">
        <v>1715</v>
      </c>
      <c r="B628" t="s">
        <v>363</v>
      </c>
      <c r="C628" t="s">
        <v>364</v>
      </c>
      <c r="D628" t="s">
        <v>437</v>
      </c>
      <c r="E628" t="s">
        <v>1716</v>
      </c>
      <c r="G628">
        <v>478338</v>
      </c>
      <c r="H628">
        <v>0</v>
      </c>
      <c r="I628">
        <v>1.7</v>
      </c>
      <c r="J628">
        <v>76</v>
      </c>
      <c r="K628">
        <v>0</v>
      </c>
      <c r="L628" t="s">
        <v>50</v>
      </c>
    </row>
    <row r="629" spans="1:12">
      <c r="A629" t="s">
        <v>1717</v>
      </c>
      <c r="B629" t="s">
        <v>399</v>
      </c>
      <c r="C629" t="s">
        <v>4</v>
      </c>
      <c r="D629" t="s">
        <v>387</v>
      </c>
      <c r="E629" t="s">
        <v>776</v>
      </c>
      <c r="G629">
        <v>56536</v>
      </c>
      <c r="H629">
        <v>2267156</v>
      </c>
      <c r="I629">
        <v>3.9</v>
      </c>
      <c r="J629">
        <v>73</v>
      </c>
      <c r="K629">
        <v>1</v>
      </c>
      <c r="L629" t="s">
        <v>50</v>
      </c>
    </row>
    <row r="630" spans="1:12">
      <c r="A630" t="s">
        <v>1718</v>
      </c>
      <c r="B630" t="s">
        <v>363</v>
      </c>
      <c r="C630" t="s">
        <v>375</v>
      </c>
      <c r="D630" t="s">
        <v>437</v>
      </c>
      <c r="E630" t="s">
        <v>1719</v>
      </c>
      <c r="G630">
        <v>432000</v>
      </c>
      <c r="H630">
        <v>42789</v>
      </c>
      <c r="I630">
        <v>1.3</v>
      </c>
      <c r="J630">
        <v>76</v>
      </c>
      <c r="K630">
        <v>1</v>
      </c>
      <c r="L630" t="s">
        <v>50</v>
      </c>
    </row>
    <row r="631" spans="1:12">
      <c r="A631" t="s">
        <v>1720</v>
      </c>
      <c r="B631" t="s">
        <v>399</v>
      </c>
      <c r="C631" t="s">
        <v>4</v>
      </c>
      <c r="D631" t="s">
        <v>369</v>
      </c>
      <c r="E631" t="s">
        <v>1721</v>
      </c>
      <c r="G631">
        <v>168672</v>
      </c>
      <c r="H631">
        <v>1016556</v>
      </c>
      <c r="I631">
        <v>4.5999999999999996</v>
      </c>
      <c r="J631">
        <v>80</v>
      </c>
      <c r="K631">
        <v>3</v>
      </c>
      <c r="L631" t="s">
        <v>50</v>
      </c>
    </row>
    <row r="632" spans="1:12">
      <c r="A632" t="s">
        <v>1722</v>
      </c>
      <c r="B632" t="s">
        <v>399</v>
      </c>
      <c r="C632" t="s">
        <v>375</v>
      </c>
      <c r="D632" t="s">
        <v>383</v>
      </c>
      <c r="E632" t="s">
        <v>1723</v>
      </c>
      <c r="G632">
        <v>108444</v>
      </c>
      <c r="H632">
        <v>26894</v>
      </c>
      <c r="I632">
        <v>5</v>
      </c>
      <c r="J632">
        <v>99</v>
      </c>
      <c r="K632">
        <v>3</v>
      </c>
      <c r="L632" t="s">
        <v>93</v>
      </c>
    </row>
    <row r="633" spans="1:12">
      <c r="A633" t="s">
        <v>1724</v>
      </c>
      <c r="B633" t="s">
        <v>368</v>
      </c>
      <c r="C633" t="s">
        <v>364</v>
      </c>
      <c r="D633" t="s">
        <v>383</v>
      </c>
      <c r="E633" t="s">
        <v>1620</v>
      </c>
      <c r="G633">
        <v>119552</v>
      </c>
      <c r="H633">
        <v>0</v>
      </c>
      <c r="I633">
        <v>2.2999999999999998</v>
      </c>
      <c r="J633">
        <v>90</v>
      </c>
      <c r="K633">
        <v>2</v>
      </c>
      <c r="L633" t="s">
        <v>50</v>
      </c>
    </row>
    <row r="634" spans="1:12">
      <c r="A634" t="s">
        <v>1725</v>
      </c>
      <c r="B634" t="s">
        <v>368</v>
      </c>
      <c r="C634" t="s">
        <v>364</v>
      </c>
      <c r="D634" t="s">
        <v>417</v>
      </c>
      <c r="E634" t="s">
        <v>687</v>
      </c>
      <c r="G634">
        <v>380250</v>
      </c>
      <c r="H634">
        <v>0</v>
      </c>
      <c r="I634">
        <v>1</v>
      </c>
      <c r="J634">
        <v>42</v>
      </c>
      <c r="K634">
        <v>2</v>
      </c>
      <c r="L634" t="s">
        <v>50</v>
      </c>
    </row>
    <row r="635" spans="1:12">
      <c r="A635" t="s">
        <v>1726</v>
      </c>
      <c r="B635" t="s">
        <v>399</v>
      </c>
      <c r="C635" t="s">
        <v>364</v>
      </c>
      <c r="D635" t="s">
        <v>383</v>
      </c>
      <c r="E635" t="s">
        <v>1727</v>
      </c>
      <c r="G635">
        <v>128712</v>
      </c>
      <c r="H635">
        <v>30060</v>
      </c>
      <c r="I635">
        <v>2.2999999999999998</v>
      </c>
      <c r="J635">
        <v>94</v>
      </c>
      <c r="K635">
        <v>0</v>
      </c>
      <c r="L635" t="s">
        <v>50</v>
      </c>
    </row>
    <row r="636" spans="1:12">
      <c r="A636" t="s">
        <v>1728</v>
      </c>
      <c r="B636" t="s">
        <v>374</v>
      </c>
      <c r="C636" t="s">
        <v>364</v>
      </c>
      <c r="D636" t="s">
        <v>387</v>
      </c>
      <c r="E636" t="s">
        <v>1729</v>
      </c>
      <c r="G636">
        <v>75624</v>
      </c>
      <c r="H636">
        <v>0</v>
      </c>
      <c r="I636">
        <v>1.5</v>
      </c>
      <c r="J636">
        <v>47</v>
      </c>
      <c r="K636">
        <v>0</v>
      </c>
      <c r="L636" t="s">
        <v>50</v>
      </c>
    </row>
    <row r="637" spans="1:12">
      <c r="A637" t="s">
        <v>1730</v>
      </c>
      <c r="B637" t="s">
        <v>368</v>
      </c>
      <c r="C637" t="s">
        <v>375</v>
      </c>
      <c r="D637" t="s">
        <v>365</v>
      </c>
      <c r="E637" t="s">
        <v>1731</v>
      </c>
      <c r="G637">
        <v>184572</v>
      </c>
      <c r="H637">
        <v>0</v>
      </c>
      <c r="I637">
        <v>4.5</v>
      </c>
      <c r="J637">
        <v>42</v>
      </c>
      <c r="K637">
        <v>1</v>
      </c>
      <c r="L637" t="s">
        <v>50</v>
      </c>
    </row>
    <row r="638" spans="1:12">
      <c r="A638" t="s">
        <v>1732</v>
      </c>
      <c r="B638" t="s">
        <v>374</v>
      </c>
      <c r="C638" t="s">
        <v>375</v>
      </c>
      <c r="D638" t="s">
        <v>437</v>
      </c>
      <c r="E638" t="s">
        <v>1733</v>
      </c>
      <c r="G638">
        <v>475650</v>
      </c>
      <c r="H638">
        <v>31790</v>
      </c>
      <c r="I638">
        <v>1.9</v>
      </c>
      <c r="J638">
        <v>92</v>
      </c>
      <c r="K638">
        <v>1</v>
      </c>
      <c r="L638" t="s">
        <v>50</v>
      </c>
    </row>
    <row r="639" spans="1:12">
      <c r="A639" t="s">
        <v>1734</v>
      </c>
      <c r="B639" t="s">
        <v>374</v>
      </c>
      <c r="C639" t="s">
        <v>4</v>
      </c>
      <c r="D639" t="s">
        <v>387</v>
      </c>
      <c r="E639" t="s">
        <v>1735</v>
      </c>
      <c r="G639">
        <v>54017</v>
      </c>
      <c r="H639">
        <v>984922</v>
      </c>
      <c r="I639">
        <v>4.3</v>
      </c>
      <c r="J639">
        <v>81</v>
      </c>
      <c r="K639">
        <v>0</v>
      </c>
      <c r="L639" t="s">
        <v>50</v>
      </c>
    </row>
    <row r="640" spans="1:12">
      <c r="A640" t="s">
        <v>1736</v>
      </c>
      <c r="B640" t="s">
        <v>399</v>
      </c>
      <c r="C640" t="s">
        <v>375</v>
      </c>
      <c r="D640" t="s">
        <v>383</v>
      </c>
      <c r="E640" t="s">
        <v>1737</v>
      </c>
      <c r="G640">
        <v>114208</v>
      </c>
      <c r="H640">
        <v>0</v>
      </c>
      <c r="I640">
        <v>1.1000000000000001</v>
      </c>
      <c r="J640">
        <v>52</v>
      </c>
      <c r="K640">
        <v>0</v>
      </c>
      <c r="L640" t="s">
        <v>50</v>
      </c>
    </row>
    <row r="641" spans="1:12">
      <c r="A641" t="s">
        <v>1738</v>
      </c>
      <c r="B641" t="s">
        <v>368</v>
      </c>
      <c r="C641" t="s">
        <v>364</v>
      </c>
      <c r="D641" t="s">
        <v>378</v>
      </c>
      <c r="E641" t="s">
        <v>1727</v>
      </c>
      <c r="G641">
        <v>542815</v>
      </c>
      <c r="H641">
        <v>0</v>
      </c>
      <c r="I641">
        <v>2.2000000000000002</v>
      </c>
      <c r="J641">
        <v>56</v>
      </c>
      <c r="K641">
        <v>2</v>
      </c>
      <c r="L641" t="s">
        <v>50</v>
      </c>
    </row>
    <row r="642" spans="1:12">
      <c r="A642" t="s">
        <v>1739</v>
      </c>
      <c r="B642" t="s">
        <v>399</v>
      </c>
      <c r="C642" t="s">
        <v>4</v>
      </c>
      <c r="D642" t="s">
        <v>417</v>
      </c>
      <c r="E642" t="s">
        <v>1740</v>
      </c>
      <c r="G642">
        <v>317740</v>
      </c>
      <c r="H642">
        <v>267169</v>
      </c>
      <c r="I642">
        <v>4</v>
      </c>
      <c r="J642">
        <v>100</v>
      </c>
      <c r="K642">
        <v>0</v>
      </c>
      <c r="L642" t="s">
        <v>50</v>
      </c>
    </row>
    <row r="643" spans="1:12">
      <c r="A643" t="s">
        <v>1741</v>
      </c>
      <c r="B643" t="s">
        <v>374</v>
      </c>
      <c r="C643" t="s">
        <v>364</v>
      </c>
      <c r="D643" t="s">
        <v>437</v>
      </c>
      <c r="E643" t="s">
        <v>1742</v>
      </c>
      <c r="G643">
        <v>439410</v>
      </c>
      <c r="H643">
        <v>24708</v>
      </c>
      <c r="I643">
        <v>2.9</v>
      </c>
      <c r="J643">
        <v>47</v>
      </c>
      <c r="K643">
        <v>0</v>
      </c>
      <c r="L643" t="s">
        <v>50</v>
      </c>
    </row>
    <row r="644" spans="1:12">
      <c r="A644" t="s">
        <v>1743</v>
      </c>
      <c r="B644" t="s">
        <v>399</v>
      </c>
      <c r="C644" t="s">
        <v>364</v>
      </c>
      <c r="D644" t="s">
        <v>417</v>
      </c>
      <c r="E644" t="s">
        <v>1744</v>
      </c>
      <c r="F644" t="s">
        <v>1745</v>
      </c>
      <c r="G644">
        <v>230630</v>
      </c>
      <c r="H644">
        <v>0</v>
      </c>
      <c r="I644">
        <v>1.3</v>
      </c>
      <c r="J644">
        <v>83</v>
      </c>
      <c r="K644">
        <v>0</v>
      </c>
      <c r="L644" t="s">
        <v>50</v>
      </c>
    </row>
    <row r="645" spans="1:12">
      <c r="A645" t="s">
        <v>1746</v>
      </c>
      <c r="B645" t="s">
        <v>363</v>
      </c>
      <c r="C645" t="s">
        <v>382</v>
      </c>
      <c r="D645" t="s">
        <v>437</v>
      </c>
      <c r="E645" t="s">
        <v>1303</v>
      </c>
      <c r="F645" t="s">
        <v>1747</v>
      </c>
      <c r="G645">
        <v>298818</v>
      </c>
      <c r="H645">
        <v>10823</v>
      </c>
      <c r="I645">
        <v>3.7</v>
      </c>
      <c r="J645">
        <v>97</v>
      </c>
      <c r="K645">
        <v>0</v>
      </c>
      <c r="L645" t="s">
        <v>50</v>
      </c>
    </row>
    <row r="646" spans="1:12">
      <c r="A646" t="s">
        <v>1748</v>
      </c>
      <c r="B646" t="s">
        <v>399</v>
      </c>
      <c r="C646" t="s">
        <v>4</v>
      </c>
      <c r="D646" t="s">
        <v>387</v>
      </c>
      <c r="E646" t="s">
        <v>1749</v>
      </c>
      <c r="F646" t="s">
        <v>1149</v>
      </c>
      <c r="G646">
        <v>42783</v>
      </c>
      <c r="H646">
        <v>2146739</v>
      </c>
      <c r="I646">
        <v>4.8</v>
      </c>
      <c r="J646">
        <v>52</v>
      </c>
      <c r="K646">
        <v>1</v>
      </c>
      <c r="L646" t="s">
        <v>50</v>
      </c>
    </row>
    <row r="647" spans="1:12">
      <c r="A647" t="s">
        <v>1750</v>
      </c>
      <c r="B647" t="s">
        <v>368</v>
      </c>
      <c r="C647" t="s">
        <v>4</v>
      </c>
      <c r="D647" t="s">
        <v>365</v>
      </c>
      <c r="E647" t="s">
        <v>1751</v>
      </c>
      <c r="G647">
        <v>214244</v>
      </c>
      <c r="H647">
        <v>2447835</v>
      </c>
      <c r="I647">
        <v>1.2</v>
      </c>
      <c r="J647">
        <v>64</v>
      </c>
      <c r="K647">
        <v>0</v>
      </c>
      <c r="L647" t="s">
        <v>50</v>
      </c>
    </row>
    <row r="648" spans="1:12">
      <c r="A648" t="s">
        <v>1752</v>
      </c>
      <c r="B648" t="s">
        <v>363</v>
      </c>
      <c r="C648" t="s">
        <v>364</v>
      </c>
      <c r="D648" t="s">
        <v>378</v>
      </c>
      <c r="E648" t="s">
        <v>1753</v>
      </c>
      <c r="F648" t="s">
        <v>1754</v>
      </c>
      <c r="G648">
        <v>473228</v>
      </c>
      <c r="H648">
        <v>0</v>
      </c>
      <c r="I648">
        <v>1.6</v>
      </c>
      <c r="J648">
        <v>99</v>
      </c>
      <c r="K648">
        <v>2</v>
      </c>
      <c r="L648" t="s">
        <v>50</v>
      </c>
    </row>
    <row r="649" spans="1:12">
      <c r="A649" t="s">
        <v>1755</v>
      </c>
      <c r="B649" t="s">
        <v>368</v>
      </c>
      <c r="C649" t="s">
        <v>364</v>
      </c>
      <c r="D649" t="s">
        <v>387</v>
      </c>
      <c r="E649" t="s">
        <v>1756</v>
      </c>
      <c r="G649">
        <v>68677</v>
      </c>
      <c r="H649">
        <v>0</v>
      </c>
      <c r="I649">
        <v>1.5</v>
      </c>
      <c r="J649">
        <v>65</v>
      </c>
      <c r="K649">
        <v>2</v>
      </c>
      <c r="L649" t="s">
        <v>50</v>
      </c>
    </row>
    <row r="650" spans="1:12">
      <c r="A650" t="s">
        <v>1757</v>
      </c>
      <c r="B650" t="s">
        <v>399</v>
      </c>
      <c r="C650" t="s">
        <v>364</v>
      </c>
      <c r="D650" t="s">
        <v>437</v>
      </c>
      <c r="E650" t="s">
        <v>848</v>
      </c>
      <c r="G650">
        <v>346602</v>
      </c>
      <c r="H650">
        <v>39846</v>
      </c>
      <c r="I650">
        <v>4.0999999999999996</v>
      </c>
      <c r="J650">
        <v>82</v>
      </c>
      <c r="K650">
        <v>1</v>
      </c>
      <c r="L650" t="s">
        <v>50</v>
      </c>
    </row>
    <row r="651" spans="1:12">
      <c r="A651" t="s">
        <v>1758</v>
      </c>
      <c r="B651" t="s">
        <v>374</v>
      </c>
      <c r="C651" t="s">
        <v>382</v>
      </c>
      <c r="D651" t="s">
        <v>437</v>
      </c>
      <c r="E651" t="s">
        <v>1759</v>
      </c>
      <c r="G651">
        <v>290124</v>
      </c>
      <c r="H651">
        <v>24986</v>
      </c>
      <c r="I651">
        <v>5</v>
      </c>
      <c r="J651">
        <v>57</v>
      </c>
      <c r="K651">
        <v>1</v>
      </c>
      <c r="L651" t="s">
        <v>50</v>
      </c>
    </row>
    <row r="652" spans="1:12">
      <c r="A652" t="s">
        <v>1760</v>
      </c>
      <c r="B652" t="s">
        <v>399</v>
      </c>
      <c r="C652" t="s">
        <v>375</v>
      </c>
      <c r="D652" t="s">
        <v>387</v>
      </c>
      <c r="E652" t="s">
        <v>1761</v>
      </c>
      <c r="G652">
        <v>70181</v>
      </c>
      <c r="H652">
        <v>0</v>
      </c>
      <c r="I652">
        <v>3.7</v>
      </c>
      <c r="J652">
        <v>51</v>
      </c>
      <c r="K652">
        <v>0</v>
      </c>
      <c r="L652" t="s">
        <v>50</v>
      </c>
    </row>
    <row r="653" spans="1:12">
      <c r="A653" t="s">
        <v>1762</v>
      </c>
      <c r="B653" t="s">
        <v>363</v>
      </c>
      <c r="C653" t="s">
        <v>375</v>
      </c>
      <c r="D653" t="s">
        <v>387</v>
      </c>
      <c r="E653" t="s">
        <v>1763</v>
      </c>
      <c r="G653">
        <v>63821</v>
      </c>
      <c r="H653">
        <v>0</v>
      </c>
      <c r="I653">
        <v>3.8</v>
      </c>
      <c r="J653">
        <v>99</v>
      </c>
      <c r="K653">
        <v>1</v>
      </c>
      <c r="L653" t="s">
        <v>50</v>
      </c>
    </row>
    <row r="654" spans="1:12">
      <c r="A654" t="s">
        <v>1764</v>
      </c>
      <c r="B654" t="s">
        <v>368</v>
      </c>
      <c r="C654" t="s">
        <v>375</v>
      </c>
      <c r="D654" t="s">
        <v>365</v>
      </c>
      <c r="E654" t="s">
        <v>1765</v>
      </c>
      <c r="G654">
        <v>206596</v>
      </c>
      <c r="H654">
        <v>0</v>
      </c>
      <c r="I654">
        <v>2.8</v>
      </c>
      <c r="J654">
        <v>70</v>
      </c>
      <c r="K654">
        <v>1</v>
      </c>
      <c r="L654" t="s">
        <v>50</v>
      </c>
    </row>
    <row r="655" spans="1:12">
      <c r="A655" t="s">
        <v>1766</v>
      </c>
      <c r="B655" t="s">
        <v>374</v>
      </c>
      <c r="C655" t="s">
        <v>4</v>
      </c>
      <c r="D655" t="s">
        <v>365</v>
      </c>
      <c r="E655" t="s">
        <v>1767</v>
      </c>
      <c r="G655">
        <v>284528</v>
      </c>
      <c r="H655">
        <v>1352990</v>
      </c>
      <c r="I655">
        <v>3.3</v>
      </c>
      <c r="J655">
        <v>91</v>
      </c>
      <c r="K655">
        <v>0</v>
      </c>
      <c r="L655" t="s">
        <v>50</v>
      </c>
    </row>
    <row r="656" spans="1:12">
      <c r="A656" t="s">
        <v>1768</v>
      </c>
      <c r="B656" t="s">
        <v>374</v>
      </c>
      <c r="C656" t="s">
        <v>382</v>
      </c>
      <c r="D656" t="s">
        <v>387</v>
      </c>
      <c r="E656" t="s">
        <v>1001</v>
      </c>
      <c r="G656">
        <v>70947</v>
      </c>
      <c r="H656">
        <v>0</v>
      </c>
      <c r="I656">
        <v>1.9</v>
      </c>
      <c r="J656">
        <v>71</v>
      </c>
      <c r="K656">
        <v>0</v>
      </c>
      <c r="L656" t="s">
        <v>50</v>
      </c>
    </row>
    <row r="657" spans="1:12">
      <c r="A657" t="s">
        <v>1769</v>
      </c>
      <c r="B657" t="s">
        <v>368</v>
      </c>
      <c r="C657" t="s">
        <v>364</v>
      </c>
      <c r="D657" t="s">
        <v>369</v>
      </c>
      <c r="E657" t="s">
        <v>1770</v>
      </c>
      <c r="G657">
        <v>141696</v>
      </c>
      <c r="H657">
        <v>44574</v>
      </c>
      <c r="I657">
        <v>2.8</v>
      </c>
      <c r="J657">
        <v>90</v>
      </c>
      <c r="K657">
        <v>0</v>
      </c>
      <c r="L657" t="s">
        <v>50</v>
      </c>
    </row>
    <row r="658" spans="1:12">
      <c r="A658" t="s">
        <v>1771</v>
      </c>
      <c r="B658" t="s">
        <v>399</v>
      </c>
      <c r="C658" t="s">
        <v>4</v>
      </c>
      <c r="D658" t="s">
        <v>369</v>
      </c>
      <c r="E658" t="s">
        <v>1772</v>
      </c>
      <c r="G658">
        <v>205713</v>
      </c>
      <c r="H658">
        <v>1424320</v>
      </c>
      <c r="I658">
        <v>3.6</v>
      </c>
      <c r="J658">
        <v>54</v>
      </c>
      <c r="K658">
        <v>0</v>
      </c>
      <c r="L658" t="s">
        <v>50</v>
      </c>
    </row>
    <row r="659" spans="1:12">
      <c r="A659" t="s">
        <v>1773</v>
      </c>
      <c r="B659" t="s">
        <v>368</v>
      </c>
      <c r="C659" t="s">
        <v>382</v>
      </c>
      <c r="D659" t="s">
        <v>365</v>
      </c>
      <c r="E659" t="s">
        <v>1774</v>
      </c>
      <c r="G659">
        <v>263972</v>
      </c>
      <c r="H659">
        <v>0</v>
      </c>
      <c r="I659">
        <v>3.4</v>
      </c>
      <c r="J659">
        <v>67</v>
      </c>
      <c r="K659">
        <v>0</v>
      </c>
      <c r="L659" t="s">
        <v>50</v>
      </c>
    </row>
    <row r="660" spans="1:12">
      <c r="A660" t="s">
        <v>1775</v>
      </c>
      <c r="B660" t="s">
        <v>399</v>
      </c>
      <c r="C660" t="s">
        <v>382</v>
      </c>
      <c r="D660" t="s">
        <v>417</v>
      </c>
      <c r="E660" t="s">
        <v>1776</v>
      </c>
      <c r="F660" t="s">
        <v>1777</v>
      </c>
      <c r="G660">
        <v>368035</v>
      </c>
      <c r="H660">
        <v>0</v>
      </c>
      <c r="I660">
        <v>3.6</v>
      </c>
      <c r="J660">
        <v>42</v>
      </c>
      <c r="K660">
        <v>0</v>
      </c>
      <c r="L660" t="s">
        <v>50</v>
      </c>
    </row>
    <row r="661" spans="1:12">
      <c r="A661" t="s">
        <v>1778</v>
      </c>
      <c r="B661" t="s">
        <v>368</v>
      </c>
      <c r="C661" t="s">
        <v>4</v>
      </c>
      <c r="D661" t="s">
        <v>437</v>
      </c>
      <c r="E661" t="s">
        <v>1779</v>
      </c>
      <c r="G661">
        <v>366108</v>
      </c>
      <c r="H661">
        <v>1666198</v>
      </c>
      <c r="I661">
        <v>2.6</v>
      </c>
      <c r="J661">
        <v>61</v>
      </c>
      <c r="K661">
        <v>2</v>
      </c>
      <c r="L661" t="s">
        <v>50</v>
      </c>
    </row>
    <row r="662" spans="1:12">
      <c r="A662" t="s">
        <v>1780</v>
      </c>
      <c r="B662" t="s">
        <v>368</v>
      </c>
      <c r="C662" t="s">
        <v>364</v>
      </c>
      <c r="D662" t="s">
        <v>437</v>
      </c>
      <c r="E662" t="s">
        <v>1781</v>
      </c>
      <c r="G662">
        <v>442518</v>
      </c>
      <c r="H662">
        <v>0</v>
      </c>
      <c r="I662">
        <v>1.7</v>
      </c>
      <c r="J662">
        <v>67</v>
      </c>
      <c r="K662">
        <v>2</v>
      </c>
      <c r="L662" t="s">
        <v>50</v>
      </c>
    </row>
    <row r="663" spans="1:12">
      <c r="A663" t="s">
        <v>1782</v>
      </c>
      <c r="B663" t="s">
        <v>368</v>
      </c>
      <c r="C663" t="s">
        <v>375</v>
      </c>
      <c r="D663" t="s">
        <v>365</v>
      </c>
      <c r="E663" t="s">
        <v>1783</v>
      </c>
      <c r="G663">
        <v>192408</v>
      </c>
      <c r="H663">
        <v>0</v>
      </c>
      <c r="I663">
        <v>1.2</v>
      </c>
      <c r="J663">
        <v>56</v>
      </c>
      <c r="K663">
        <v>0</v>
      </c>
      <c r="L663" t="s">
        <v>50</v>
      </c>
    </row>
    <row r="664" spans="1:12">
      <c r="A664" t="s">
        <v>1784</v>
      </c>
      <c r="B664" t="s">
        <v>363</v>
      </c>
      <c r="C664" t="s">
        <v>382</v>
      </c>
      <c r="D664" t="s">
        <v>437</v>
      </c>
      <c r="E664" t="s">
        <v>1785</v>
      </c>
      <c r="G664">
        <v>356190</v>
      </c>
      <c r="H664">
        <v>0</v>
      </c>
      <c r="I664">
        <v>1.2</v>
      </c>
      <c r="J664">
        <v>41</v>
      </c>
      <c r="K664">
        <v>2</v>
      </c>
      <c r="L664" t="s">
        <v>50</v>
      </c>
    </row>
    <row r="665" spans="1:12">
      <c r="A665" t="s">
        <v>1786</v>
      </c>
      <c r="B665" t="s">
        <v>363</v>
      </c>
      <c r="C665" t="s">
        <v>382</v>
      </c>
      <c r="D665" t="s">
        <v>383</v>
      </c>
      <c r="E665" t="s">
        <v>1787</v>
      </c>
      <c r="G665">
        <v>122708</v>
      </c>
      <c r="H665">
        <v>0</v>
      </c>
      <c r="I665">
        <v>3.2</v>
      </c>
      <c r="J665">
        <v>86</v>
      </c>
      <c r="K665">
        <v>0</v>
      </c>
      <c r="L665" t="s">
        <v>50</v>
      </c>
    </row>
    <row r="666" spans="1:12">
      <c r="A666" t="s">
        <v>1788</v>
      </c>
      <c r="B666" t="s">
        <v>363</v>
      </c>
      <c r="C666" t="s">
        <v>4</v>
      </c>
      <c r="D666" t="s">
        <v>437</v>
      </c>
      <c r="E666" t="s">
        <v>1789</v>
      </c>
      <c r="G666">
        <v>448014</v>
      </c>
      <c r="H666">
        <v>1729367</v>
      </c>
      <c r="I666">
        <v>1.8</v>
      </c>
      <c r="J666">
        <v>71</v>
      </c>
      <c r="K666">
        <v>0</v>
      </c>
      <c r="L666" t="s">
        <v>50</v>
      </c>
    </row>
    <row r="667" spans="1:12">
      <c r="A667" t="s">
        <v>1790</v>
      </c>
      <c r="B667" t="s">
        <v>368</v>
      </c>
      <c r="C667" t="s">
        <v>364</v>
      </c>
      <c r="D667" t="s">
        <v>417</v>
      </c>
      <c r="E667" t="s">
        <v>1785</v>
      </c>
      <c r="F667" t="s">
        <v>1791</v>
      </c>
      <c r="G667">
        <v>390775</v>
      </c>
      <c r="H667">
        <v>40177</v>
      </c>
      <c r="I667">
        <v>1.7</v>
      </c>
      <c r="J667">
        <v>57</v>
      </c>
      <c r="K667">
        <v>0</v>
      </c>
      <c r="L667" t="s">
        <v>50</v>
      </c>
    </row>
    <row r="668" spans="1:12">
      <c r="A668" t="s">
        <v>1792</v>
      </c>
      <c r="B668" t="s">
        <v>368</v>
      </c>
      <c r="C668" t="s">
        <v>375</v>
      </c>
      <c r="D668" t="s">
        <v>369</v>
      </c>
      <c r="E668" t="s">
        <v>1793</v>
      </c>
      <c r="G668">
        <v>187419</v>
      </c>
      <c r="H668">
        <v>43715</v>
      </c>
      <c r="I668">
        <v>4.8</v>
      </c>
      <c r="J668">
        <v>42</v>
      </c>
      <c r="K668">
        <v>0</v>
      </c>
      <c r="L668" t="s">
        <v>93</v>
      </c>
    </row>
    <row r="669" spans="1:12">
      <c r="A669" t="s">
        <v>1794</v>
      </c>
      <c r="B669" t="s">
        <v>368</v>
      </c>
      <c r="C669" t="s">
        <v>364</v>
      </c>
      <c r="D669" t="s">
        <v>378</v>
      </c>
      <c r="E669" t="s">
        <v>1795</v>
      </c>
      <c r="G669">
        <v>500976</v>
      </c>
      <c r="H669">
        <v>0</v>
      </c>
      <c r="I669">
        <v>1.7</v>
      </c>
      <c r="J669">
        <v>96</v>
      </c>
      <c r="K669">
        <v>2</v>
      </c>
      <c r="L669" t="s">
        <v>50</v>
      </c>
    </row>
    <row r="670" spans="1:12">
      <c r="A670" t="s">
        <v>1796</v>
      </c>
      <c r="B670" t="s">
        <v>374</v>
      </c>
      <c r="C670" t="s">
        <v>375</v>
      </c>
      <c r="D670" t="s">
        <v>378</v>
      </c>
      <c r="E670" t="s">
        <v>1024</v>
      </c>
      <c r="G670">
        <v>491260</v>
      </c>
      <c r="H670">
        <v>0</v>
      </c>
      <c r="I670">
        <v>4.3</v>
      </c>
      <c r="J670">
        <v>92</v>
      </c>
      <c r="K670">
        <v>1</v>
      </c>
      <c r="L670" t="s">
        <v>50</v>
      </c>
    </row>
    <row r="671" spans="1:12">
      <c r="A671" t="s">
        <v>1797</v>
      </c>
      <c r="B671" t="s">
        <v>374</v>
      </c>
      <c r="C671" t="s">
        <v>4</v>
      </c>
      <c r="D671" t="s">
        <v>417</v>
      </c>
      <c r="E671" t="s">
        <v>1798</v>
      </c>
      <c r="F671" t="s">
        <v>1799</v>
      </c>
      <c r="G671">
        <v>206350</v>
      </c>
      <c r="H671">
        <v>1296519</v>
      </c>
      <c r="I671">
        <v>4.4000000000000004</v>
      </c>
      <c r="J671">
        <v>58</v>
      </c>
      <c r="K671">
        <v>1</v>
      </c>
      <c r="L671" t="s">
        <v>50</v>
      </c>
    </row>
    <row r="672" spans="1:12">
      <c r="A672" t="s">
        <v>1800</v>
      </c>
      <c r="B672" t="s">
        <v>399</v>
      </c>
      <c r="C672" t="s">
        <v>375</v>
      </c>
      <c r="D672" t="s">
        <v>387</v>
      </c>
      <c r="E672" t="s">
        <v>1801</v>
      </c>
      <c r="G672">
        <v>70530</v>
      </c>
      <c r="H672">
        <v>0</v>
      </c>
      <c r="I672">
        <v>1.7</v>
      </c>
      <c r="J672">
        <v>49</v>
      </c>
      <c r="K672">
        <v>0</v>
      </c>
      <c r="L672" t="s">
        <v>50</v>
      </c>
    </row>
    <row r="673" spans="1:12">
      <c r="A673" t="s">
        <v>1802</v>
      </c>
      <c r="B673" t="s">
        <v>374</v>
      </c>
      <c r="C673" t="s">
        <v>382</v>
      </c>
      <c r="D673" t="s">
        <v>365</v>
      </c>
      <c r="E673" t="s">
        <v>1803</v>
      </c>
      <c r="G673">
        <v>217364</v>
      </c>
      <c r="H673">
        <v>0</v>
      </c>
      <c r="I673">
        <v>1.4</v>
      </c>
      <c r="J673">
        <v>48</v>
      </c>
      <c r="K673">
        <v>1</v>
      </c>
      <c r="L673" t="s">
        <v>50</v>
      </c>
    </row>
    <row r="674" spans="1:12">
      <c r="A674" t="s">
        <v>1804</v>
      </c>
      <c r="B674" t="s">
        <v>374</v>
      </c>
      <c r="C674" t="s">
        <v>375</v>
      </c>
      <c r="D674" t="s">
        <v>369</v>
      </c>
      <c r="E674" t="s">
        <v>1805</v>
      </c>
      <c r="G674">
        <v>210531</v>
      </c>
      <c r="H674">
        <v>0</v>
      </c>
      <c r="I674">
        <v>4.2</v>
      </c>
      <c r="J674">
        <v>74</v>
      </c>
      <c r="K674">
        <v>2</v>
      </c>
      <c r="L674" t="s">
        <v>50</v>
      </c>
    </row>
    <row r="675" spans="1:12">
      <c r="A675" t="s">
        <v>1806</v>
      </c>
      <c r="B675" t="s">
        <v>374</v>
      </c>
      <c r="C675" t="s">
        <v>375</v>
      </c>
      <c r="D675" t="s">
        <v>437</v>
      </c>
      <c r="E675" t="s">
        <v>1807</v>
      </c>
      <c r="G675">
        <v>340416</v>
      </c>
      <c r="H675">
        <v>41439</v>
      </c>
      <c r="I675">
        <v>4.7</v>
      </c>
      <c r="J675">
        <v>80</v>
      </c>
      <c r="K675">
        <v>2</v>
      </c>
      <c r="L675" t="s">
        <v>50</v>
      </c>
    </row>
    <row r="676" spans="1:12">
      <c r="A676" t="s">
        <v>1808</v>
      </c>
      <c r="B676" t="s">
        <v>399</v>
      </c>
      <c r="C676" t="s">
        <v>4</v>
      </c>
      <c r="D676" t="s">
        <v>387</v>
      </c>
      <c r="E676" t="s">
        <v>1809</v>
      </c>
      <c r="F676" t="s">
        <v>1810</v>
      </c>
      <c r="G676">
        <v>66173</v>
      </c>
      <c r="H676">
        <v>1624212</v>
      </c>
      <c r="I676">
        <v>4.8</v>
      </c>
      <c r="J676">
        <v>59</v>
      </c>
      <c r="K676">
        <v>0</v>
      </c>
      <c r="L676" t="s">
        <v>50</v>
      </c>
    </row>
    <row r="677" spans="1:12">
      <c r="A677" t="s">
        <v>1811</v>
      </c>
      <c r="B677" t="s">
        <v>368</v>
      </c>
      <c r="C677" t="s">
        <v>364</v>
      </c>
      <c r="D677" t="s">
        <v>417</v>
      </c>
      <c r="E677" t="s">
        <v>1810</v>
      </c>
      <c r="G677">
        <v>216175</v>
      </c>
      <c r="H677">
        <v>0</v>
      </c>
      <c r="I677">
        <v>3</v>
      </c>
      <c r="J677">
        <v>75</v>
      </c>
      <c r="K677">
        <v>1</v>
      </c>
      <c r="L677" t="s">
        <v>50</v>
      </c>
    </row>
    <row r="678" spans="1:12">
      <c r="A678" t="s">
        <v>1812</v>
      </c>
      <c r="B678" t="s">
        <v>363</v>
      </c>
      <c r="C678" t="s">
        <v>382</v>
      </c>
      <c r="D678" t="s">
        <v>417</v>
      </c>
      <c r="E678" t="s">
        <v>1596</v>
      </c>
      <c r="F678" t="s">
        <v>1813</v>
      </c>
      <c r="G678">
        <v>280415</v>
      </c>
      <c r="H678">
        <v>0</v>
      </c>
      <c r="I678">
        <v>4.8</v>
      </c>
      <c r="J678">
        <v>83</v>
      </c>
      <c r="K678">
        <v>0</v>
      </c>
      <c r="L678" t="s">
        <v>50</v>
      </c>
    </row>
    <row r="679" spans="1:12">
      <c r="A679" t="s">
        <v>1814</v>
      </c>
      <c r="B679" t="s">
        <v>399</v>
      </c>
      <c r="C679" t="s">
        <v>4</v>
      </c>
      <c r="D679" t="s">
        <v>383</v>
      </c>
      <c r="E679" t="s">
        <v>1742</v>
      </c>
      <c r="G679">
        <v>145704</v>
      </c>
      <c r="H679">
        <v>777792</v>
      </c>
      <c r="I679">
        <v>1.6</v>
      </c>
      <c r="J679">
        <v>82</v>
      </c>
      <c r="K679">
        <v>2</v>
      </c>
      <c r="L679" t="s">
        <v>50</v>
      </c>
    </row>
    <row r="680" spans="1:12">
      <c r="A680" t="s">
        <v>1815</v>
      </c>
      <c r="B680" t="s">
        <v>363</v>
      </c>
      <c r="C680" t="s">
        <v>4</v>
      </c>
      <c r="D680" t="s">
        <v>365</v>
      </c>
      <c r="E680" t="s">
        <v>1816</v>
      </c>
      <c r="F680" t="s">
        <v>1817</v>
      </c>
      <c r="G680">
        <v>288136</v>
      </c>
      <c r="H680">
        <v>2089984</v>
      </c>
      <c r="I680">
        <v>2.2999999999999998</v>
      </c>
      <c r="J680">
        <v>91</v>
      </c>
      <c r="K680">
        <v>1</v>
      </c>
      <c r="L680" t="s">
        <v>50</v>
      </c>
    </row>
    <row r="681" spans="1:12">
      <c r="A681" t="s">
        <v>1818</v>
      </c>
      <c r="B681" t="s">
        <v>368</v>
      </c>
      <c r="C681" t="s">
        <v>364</v>
      </c>
      <c r="D681" t="s">
        <v>417</v>
      </c>
      <c r="E681" t="s">
        <v>539</v>
      </c>
      <c r="G681">
        <v>234745</v>
      </c>
      <c r="H681">
        <v>0</v>
      </c>
      <c r="I681">
        <v>2.7</v>
      </c>
      <c r="J681">
        <v>56</v>
      </c>
      <c r="K681">
        <v>3</v>
      </c>
      <c r="L681" t="s">
        <v>50</v>
      </c>
    </row>
    <row r="682" spans="1:12">
      <c r="A682" t="s">
        <v>1819</v>
      </c>
      <c r="B682" t="s">
        <v>399</v>
      </c>
      <c r="C682" t="s">
        <v>375</v>
      </c>
      <c r="D682" t="s">
        <v>387</v>
      </c>
      <c r="E682" t="s">
        <v>1820</v>
      </c>
      <c r="G682">
        <v>76131</v>
      </c>
      <c r="H682">
        <v>0</v>
      </c>
      <c r="I682">
        <v>4.8</v>
      </c>
      <c r="J682">
        <v>94</v>
      </c>
      <c r="K682">
        <v>0</v>
      </c>
      <c r="L682" t="s">
        <v>50</v>
      </c>
    </row>
    <row r="683" spans="1:12">
      <c r="A683" t="s">
        <v>1821</v>
      </c>
      <c r="B683" t="s">
        <v>363</v>
      </c>
      <c r="C683" t="s">
        <v>4</v>
      </c>
      <c r="D683" t="s">
        <v>378</v>
      </c>
      <c r="E683" t="s">
        <v>1822</v>
      </c>
      <c r="G683">
        <v>379631</v>
      </c>
      <c r="H683">
        <v>1474978</v>
      </c>
      <c r="I683">
        <v>4.7</v>
      </c>
      <c r="J683">
        <v>77</v>
      </c>
      <c r="K683">
        <v>2</v>
      </c>
      <c r="L683" t="s">
        <v>50</v>
      </c>
    </row>
    <row r="684" spans="1:12">
      <c r="A684" t="s">
        <v>1823</v>
      </c>
      <c r="B684" t="s">
        <v>399</v>
      </c>
      <c r="C684" t="s">
        <v>364</v>
      </c>
      <c r="D684" t="s">
        <v>365</v>
      </c>
      <c r="E684" t="s">
        <v>1341</v>
      </c>
      <c r="F684" t="s">
        <v>1824</v>
      </c>
      <c r="G684">
        <v>246920</v>
      </c>
      <c r="H684">
        <v>0</v>
      </c>
      <c r="I684">
        <v>1.8</v>
      </c>
      <c r="J684">
        <v>56</v>
      </c>
      <c r="K684">
        <v>0</v>
      </c>
      <c r="L684" t="s">
        <v>50</v>
      </c>
    </row>
    <row r="685" spans="1:12">
      <c r="A685" t="s">
        <v>1825</v>
      </c>
      <c r="B685" t="s">
        <v>363</v>
      </c>
      <c r="C685" t="s">
        <v>375</v>
      </c>
      <c r="D685" t="s">
        <v>387</v>
      </c>
      <c r="E685" t="s">
        <v>1279</v>
      </c>
      <c r="G685">
        <v>73543</v>
      </c>
      <c r="H685">
        <v>0</v>
      </c>
      <c r="I685">
        <v>2.8</v>
      </c>
      <c r="J685">
        <v>70</v>
      </c>
      <c r="K685">
        <v>1</v>
      </c>
      <c r="L685" t="s">
        <v>50</v>
      </c>
    </row>
    <row r="686" spans="1:12">
      <c r="A686" t="s">
        <v>1826</v>
      </c>
      <c r="B686" t="s">
        <v>363</v>
      </c>
      <c r="C686" t="s">
        <v>382</v>
      </c>
      <c r="D686" t="s">
        <v>387</v>
      </c>
      <c r="E686" t="s">
        <v>1827</v>
      </c>
      <c r="G686">
        <v>51398</v>
      </c>
      <c r="H686">
        <v>0</v>
      </c>
      <c r="I686">
        <v>4.8</v>
      </c>
      <c r="J686">
        <v>82</v>
      </c>
      <c r="K686">
        <v>2</v>
      </c>
      <c r="L686" t="s">
        <v>50</v>
      </c>
    </row>
    <row r="687" spans="1:12">
      <c r="A687" t="s">
        <v>1828</v>
      </c>
      <c r="B687" t="s">
        <v>368</v>
      </c>
      <c r="C687" t="s">
        <v>364</v>
      </c>
      <c r="D687" t="s">
        <v>369</v>
      </c>
      <c r="E687" t="s">
        <v>1829</v>
      </c>
      <c r="F687" t="s">
        <v>1830</v>
      </c>
      <c r="G687">
        <v>129834</v>
      </c>
      <c r="H687">
        <v>0</v>
      </c>
      <c r="I687">
        <v>4.8</v>
      </c>
      <c r="J687">
        <v>69</v>
      </c>
      <c r="K687">
        <v>3</v>
      </c>
      <c r="L687" t="s">
        <v>50</v>
      </c>
    </row>
    <row r="688" spans="1:12">
      <c r="A688" t="s">
        <v>1831</v>
      </c>
      <c r="B688" t="s">
        <v>374</v>
      </c>
      <c r="C688" t="s">
        <v>375</v>
      </c>
      <c r="D688" t="s">
        <v>369</v>
      </c>
      <c r="E688" t="s">
        <v>1832</v>
      </c>
      <c r="G688">
        <v>131415</v>
      </c>
      <c r="H688">
        <v>0</v>
      </c>
      <c r="I688">
        <v>4.9000000000000004</v>
      </c>
      <c r="J688">
        <v>81</v>
      </c>
      <c r="K688">
        <v>2</v>
      </c>
      <c r="L688" t="s">
        <v>50</v>
      </c>
    </row>
    <row r="689" spans="1:12">
      <c r="A689" t="s">
        <v>1833</v>
      </c>
      <c r="B689" t="s">
        <v>368</v>
      </c>
      <c r="C689" t="s">
        <v>4</v>
      </c>
      <c r="D689" t="s">
        <v>365</v>
      </c>
      <c r="E689" t="s">
        <v>608</v>
      </c>
      <c r="G689">
        <v>309804</v>
      </c>
      <c r="H689">
        <v>2184173</v>
      </c>
      <c r="I689">
        <v>1.3</v>
      </c>
      <c r="J689">
        <v>84</v>
      </c>
      <c r="K689">
        <v>1</v>
      </c>
      <c r="L689" t="s">
        <v>50</v>
      </c>
    </row>
    <row r="690" spans="1:12">
      <c r="A690" t="s">
        <v>1834</v>
      </c>
      <c r="B690" t="s">
        <v>363</v>
      </c>
      <c r="C690" t="s">
        <v>382</v>
      </c>
      <c r="D690" t="s">
        <v>387</v>
      </c>
      <c r="E690" t="s">
        <v>1835</v>
      </c>
      <c r="F690" t="s">
        <v>1836</v>
      </c>
      <c r="G690">
        <v>41141</v>
      </c>
      <c r="H690">
        <v>35080</v>
      </c>
      <c r="I690">
        <v>3.4</v>
      </c>
      <c r="J690">
        <v>60</v>
      </c>
      <c r="K690">
        <v>1</v>
      </c>
      <c r="L690" t="s">
        <v>50</v>
      </c>
    </row>
    <row r="691" spans="1:12">
      <c r="A691" t="s">
        <v>1837</v>
      </c>
      <c r="B691" t="s">
        <v>399</v>
      </c>
      <c r="C691" t="s">
        <v>4</v>
      </c>
      <c r="D691" t="s">
        <v>437</v>
      </c>
      <c r="E691" t="s">
        <v>1303</v>
      </c>
      <c r="G691">
        <v>451716</v>
      </c>
      <c r="H691">
        <v>1810162</v>
      </c>
      <c r="I691">
        <v>3.6</v>
      </c>
      <c r="J691">
        <v>44</v>
      </c>
      <c r="K691">
        <v>0</v>
      </c>
      <c r="L691" t="s">
        <v>50</v>
      </c>
    </row>
    <row r="692" spans="1:12">
      <c r="A692" t="s">
        <v>1838</v>
      </c>
      <c r="B692" t="s">
        <v>363</v>
      </c>
      <c r="C692" t="s">
        <v>382</v>
      </c>
      <c r="D692" t="s">
        <v>365</v>
      </c>
      <c r="E692" t="s">
        <v>1443</v>
      </c>
      <c r="G692">
        <v>191356</v>
      </c>
      <c r="H692">
        <v>27715</v>
      </c>
      <c r="I692">
        <v>4.5</v>
      </c>
      <c r="J692">
        <v>76</v>
      </c>
      <c r="K692">
        <v>1</v>
      </c>
      <c r="L692" t="s">
        <v>50</v>
      </c>
    </row>
    <row r="693" spans="1:12">
      <c r="A693" t="s">
        <v>1839</v>
      </c>
      <c r="B693" t="s">
        <v>374</v>
      </c>
      <c r="C693" t="s">
        <v>382</v>
      </c>
      <c r="D693" t="s">
        <v>387</v>
      </c>
      <c r="E693" t="s">
        <v>1840</v>
      </c>
      <c r="G693">
        <v>63890</v>
      </c>
      <c r="H693">
        <v>0</v>
      </c>
      <c r="I693">
        <v>1.1000000000000001</v>
      </c>
      <c r="J693">
        <v>66</v>
      </c>
      <c r="K693">
        <v>1</v>
      </c>
      <c r="L693" t="s">
        <v>50</v>
      </c>
    </row>
    <row r="694" spans="1:12">
      <c r="A694" t="s">
        <v>1841</v>
      </c>
      <c r="B694" t="s">
        <v>399</v>
      </c>
      <c r="C694" t="s">
        <v>364</v>
      </c>
      <c r="D694" t="s">
        <v>383</v>
      </c>
      <c r="E694" t="s">
        <v>1842</v>
      </c>
      <c r="G694">
        <v>81740</v>
      </c>
      <c r="H694">
        <v>0</v>
      </c>
      <c r="I694">
        <v>4.0999999999999996</v>
      </c>
      <c r="J694">
        <v>94</v>
      </c>
      <c r="K694">
        <v>0</v>
      </c>
      <c r="L694" t="s">
        <v>50</v>
      </c>
    </row>
    <row r="695" spans="1:12">
      <c r="A695" t="s">
        <v>1843</v>
      </c>
      <c r="B695" t="s">
        <v>374</v>
      </c>
      <c r="C695" t="s">
        <v>375</v>
      </c>
      <c r="D695" t="s">
        <v>417</v>
      </c>
      <c r="E695" t="s">
        <v>1844</v>
      </c>
      <c r="F695" t="s">
        <v>1845</v>
      </c>
      <c r="G695">
        <v>240265</v>
      </c>
      <c r="H695">
        <v>0</v>
      </c>
      <c r="I695">
        <v>3.7</v>
      </c>
      <c r="J695">
        <v>41</v>
      </c>
      <c r="K695">
        <v>1</v>
      </c>
      <c r="L695" t="s">
        <v>50</v>
      </c>
    </row>
    <row r="696" spans="1:12">
      <c r="A696" t="s">
        <v>1846</v>
      </c>
      <c r="B696" t="s">
        <v>374</v>
      </c>
      <c r="C696" t="s">
        <v>4</v>
      </c>
      <c r="D696" t="s">
        <v>383</v>
      </c>
      <c r="E696" t="s">
        <v>1847</v>
      </c>
      <c r="F696" t="s">
        <v>1848</v>
      </c>
      <c r="G696">
        <v>84052</v>
      </c>
      <c r="H696">
        <v>1774938</v>
      </c>
      <c r="I696">
        <v>4.8</v>
      </c>
      <c r="J696">
        <v>72</v>
      </c>
      <c r="K696">
        <v>1</v>
      </c>
      <c r="L696" t="s">
        <v>50</v>
      </c>
    </row>
    <row r="697" spans="1:12">
      <c r="A697" t="s">
        <v>1849</v>
      </c>
      <c r="B697" t="s">
        <v>368</v>
      </c>
      <c r="C697" t="s">
        <v>375</v>
      </c>
      <c r="D697" t="s">
        <v>417</v>
      </c>
      <c r="E697" t="s">
        <v>1850</v>
      </c>
      <c r="G697">
        <v>332610</v>
      </c>
      <c r="H697">
        <v>0</v>
      </c>
      <c r="I697">
        <v>4</v>
      </c>
      <c r="J697">
        <v>97</v>
      </c>
      <c r="K697">
        <v>0</v>
      </c>
      <c r="L697" t="s">
        <v>50</v>
      </c>
    </row>
    <row r="698" spans="1:12">
      <c r="A698" t="s">
        <v>1851</v>
      </c>
      <c r="B698" t="s">
        <v>363</v>
      </c>
      <c r="C698" t="s">
        <v>382</v>
      </c>
      <c r="D698" t="s">
        <v>387</v>
      </c>
      <c r="E698" t="s">
        <v>1852</v>
      </c>
      <c r="G698">
        <v>71213</v>
      </c>
      <c r="H698">
        <v>0</v>
      </c>
      <c r="I698">
        <v>4.0999999999999996</v>
      </c>
      <c r="J698">
        <v>47</v>
      </c>
      <c r="K698">
        <v>0</v>
      </c>
      <c r="L698" t="s">
        <v>93</v>
      </c>
    </row>
    <row r="699" spans="1:12">
      <c r="A699" t="s">
        <v>1853</v>
      </c>
      <c r="B699" t="s">
        <v>374</v>
      </c>
      <c r="C699" t="s">
        <v>4</v>
      </c>
      <c r="D699" t="s">
        <v>365</v>
      </c>
      <c r="E699" t="s">
        <v>1854</v>
      </c>
      <c r="G699">
        <v>286776</v>
      </c>
      <c r="H699">
        <v>1206773</v>
      </c>
      <c r="I699">
        <v>1.1000000000000001</v>
      </c>
      <c r="J699">
        <v>93</v>
      </c>
      <c r="K699">
        <v>3</v>
      </c>
      <c r="L699" t="s">
        <v>50</v>
      </c>
    </row>
    <row r="700" spans="1:12">
      <c r="A700" t="s">
        <v>1855</v>
      </c>
      <c r="B700" t="s">
        <v>368</v>
      </c>
      <c r="C700" t="s">
        <v>4</v>
      </c>
      <c r="D700" t="s">
        <v>369</v>
      </c>
      <c r="E700" t="s">
        <v>1495</v>
      </c>
      <c r="G700">
        <v>160911</v>
      </c>
      <c r="H700">
        <v>1777405</v>
      </c>
      <c r="I700">
        <v>2.5</v>
      </c>
      <c r="J700">
        <v>88</v>
      </c>
      <c r="K700">
        <v>3</v>
      </c>
      <c r="L700" t="s">
        <v>50</v>
      </c>
    </row>
    <row r="701" spans="1:12">
      <c r="A701" t="s">
        <v>1856</v>
      </c>
      <c r="B701" t="s">
        <v>399</v>
      </c>
      <c r="C701" t="s">
        <v>375</v>
      </c>
      <c r="D701" t="s">
        <v>387</v>
      </c>
      <c r="E701" t="s">
        <v>1857</v>
      </c>
      <c r="G701">
        <v>69033</v>
      </c>
      <c r="H701">
        <v>0</v>
      </c>
      <c r="I701">
        <v>4.9000000000000004</v>
      </c>
      <c r="J701">
        <v>70</v>
      </c>
      <c r="K701">
        <v>0</v>
      </c>
      <c r="L701" t="s">
        <v>50</v>
      </c>
    </row>
    <row r="702" spans="1:12">
      <c r="A702" t="s">
        <v>1858</v>
      </c>
      <c r="B702" t="s">
        <v>363</v>
      </c>
      <c r="C702" t="s">
        <v>375</v>
      </c>
      <c r="D702" t="s">
        <v>417</v>
      </c>
      <c r="E702" t="s">
        <v>1859</v>
      </c>
      <c r="G702">
        <v>252620</v>
      </c>
      <c r="H702">
        <v>0</v>
      </c>
      <c r="I702">
        <v>3.3</v>
      </c>
      <c r="J702">
        <v>85</v>
      </c>
      <c r="K702">
        <v>0</v>
      </c>
      <c r="L702" t="s">
        <v>93</v>
      </c>
    </row>
    <row r="703" spans="1:12">
      <c r="A703" t="s">
        <v>1860</v>
      </c>
      <c r="B703" t="s">
        <v>374</v>
      </c>
      <c r="C703" t="s">
        <v>382</v>
      </c>
      <c r="D703" t="s">
        <v>369</v>
      </c>
      <c r="E703" t="s">
        <v>1861</v>
      </c>
      <c r="G703">
        <v>230553</v>
      </c>
      <c r="H703">
        <v>20383</v>
      </c>
      <c r="I703">
        <v>2.1</v>
      </c>
      <c r="J703">
        <v>76</v>
      </c>
      <c r="K703">
        <v>3</v>
      </c>
      <c r="L703" t="s">
        <v>50</v>
      </c>
    </row>
    <row r="704" spans="1:12">
      <c r="A704" t="s">
        <v>1862</v>
      </c>
      <c r="B704" t="s">
        <v>368</v>
      </c>
      <c r="C704" t="s">
        <v>4</v>
      </c>
      <c r="D704" t="s">
        <v>437</v>
      </c>
      <c r="E704" t="s">
        <v>1863</v>
      </c>
      <c r="G704">
        <v>428100</v>
      </c>
      <c r="H704">
        <v>1518185</v>
      </c>
      <c r="I704">
        <v>1.3</v>
      </c>
      <c r="J704">
        <v>73</v>
      </c>
      <c r="K704">
        <v>0</v>
      </c>
      <c r="L704" t="s">
        <v>50</v>
      </c>
    </row>
    <row r="705" spans="1:12">
      <c r="A705" t="s">
        <v>1864</v>
      </c>
      <c r="B705" t="s">
        <v>399</v>
      </c>
      <c r="C705" t="s">
        <v>364</v>
      </c>
      <c r="D705" t="s">
        <v>417</v>
      </c>
      <c r="E705" t="s">
        <v>1865</v>
      </c>
      <c r="G705">
        <v>215505</v>
      </c>
      <c r="H705">
        <v>0</v>
      </c>
      <c r="I705">
        <v>3</v>
      </c>
      <c r="J705">
        <v>55</v>
      </c>
      <c r="K705">
        <v>2</v>
      </c>
      <c r="L705" t="s">
        <v>50</v>
      </c>
    </row>
    <row r="706" spans="1:12">
      <c r="A706" t="s">
        <v>1866</v>
      </c>
      <c r="B706" t="s">
        <v>363</v>
      </c>
      <c r="C706" t="s">
        <v>364</v>
      </c>
      <c r="D706" t="s">
        <v>417</v>
      </c>
      <c r="E706" t="s">
        <v>1867</v>
      </c>
      <c r="G706">
        <v>316835</v>
      </c>
      <c r="H706">
        <v>0</v>
      </c>
      <c r="I706">
        <v>4.5999999999999996</v>
      </c>
      <c r="J706">
        <v>57</v>
      </c>
      <c r="K706">
        <v>0</v>
      </c>
      <c r="L706" t="s">
        <v>50</v>
      </c>
    </row>
    <row r="707" spans="1:12">
      <c r="A707" t="s">
        <v>1868</v>
      </c>
      <c r="B707" t="s">
        <v>368</v>
      </c>
      <c r="C707" t="s">
        <v>375</v>
      </c>
      <c r="D707" t="s">
        <v>387</v>
      </c>
      <c r="E707" t="s">
        <v>1869</v>
      </c>
      <c r="F707" t="s">
        <v>1870</v>
      </c>
      <c r="G707">
        <v>49075</v>
      </c>
      <c r="H707">
        <v>37598</v>
      </c>
      <c r="I707">
        <v>3.8</v>
      </c>
      <c r="J707">
        <v>91</v>
      </c>
      <c r="K707">
        <v>0</v>
      </c>
      <c r="L707" t="s">
        <v>50</v>
      </c>
    </row>
    <row r="708" spans="1:12">
      <c r="A708" t="s">
        <v>1871</v>
      </c>
      <c r="B708" t="s">
        <v>399</v>
      </c>
      <c r="C708" t="s">
        <v>364</v>
      </c>
      <c r="D708" t="s">
        <v>369</v>
      </c>
      <c r="E708" t="s">
        <v>1872</v>
      </c>
      <c r="G708">
        <v>221376</v>
      </c>
      <c r="H708">
        <v>0</v>
      </c>
      <c r="I708">
        <v>4.3</v>
      </c>
      <c r="J708">
        <v>69</v>
      </c>
      <c r="K708">
        <v>2</v>
      </c>
      <c r="L708" t="s">
        <v>50</v>
      </c>
    </row>
    <row r="709" spans="1:12">
      <c r="A709" t="s">
        <v>1873</v>
      </c>
      <c r="B709" t="s">
        <v>399</v>
      </c>
      <c r="C709" t="s">
        <v>382</v>
      </c>
      <c r="D709" t="s">
        <v>378</v>
      </c>
      <c r="E709" t="s">
        <v>1874</v>
      </c>
      <c r="G709">
        <v>412244</v>
      </c>
      <c r="H709">
        <v>0</v>
      </c>
      <c r="I709">
        <v>3.5</v>
      </c>
      <c r="J709">
        <v>63</v>
      </c>
      <c r="K709">
        <v>3</v>
      </c>
      <c r="L709" t="s">
        <v>50</v>
      </c>
    </row>
    <row r="710" spans="1:12">
      <c r="A710" t="s">
        <v>1875</v>
      </c>
      <c r="B710" t="s">
        <v>363</v>
      </c>
      <c r="C710" t="s">
        <v>4</v>
      </c>
      <c r="D710" t="s">
        <v>383</v>
      </c>
      <c r="E710" t="s">
        <v>1876</v>
      </c>
      <c r="G710">
        <v>138816</v>
      </c>
      <c r="H710">
        <v>1014830</v>
      </c>
      <c r="I710">
        <v>2</v>
      </c>
      <c r="J710">
        <v>82</v>
      </c>
      <c r="K710">
        <v>0</v>
      </c>
      <c r="L710" t="s">
        <v>50</v>
      </c>
    </row>
    <row r="711" spans="1:12">
      <c r="A711" t="s">
        <v>1877</v>
      </c>
      <c r="B711" t="s">
        <v>374</v>
      </c>
      <c r="C711" t="s">
        <v>364</v>
      </c>
      <c r="D711" t="s">
        <v>378</v>
      </c>
      <c r="E711" t="s">
        <v>1878</v>
      </c>
      <c r="G711">
        <v>475391</v>
      </c>
      <c r="H711">
        <v>0</v>
      </c>
      <c r="I711">
        <v>1.8</v>
      </c>
      <c r="J711">
        <v>93</v>
      </c>
      <c r="K711">
        <v>3</v>
      </c>
      <c r="L711" t="s">
        <v>50</v>
      </c>
    </row>
    <row r="712" spans="1:12">
      <c r="A712" t="s">
        <v>1879</v>
      </c>
      <c r="B712" t="s">
        <v>399</v>
      </c>
      <c r="C712" t="s">
        <v>364</v>
      </c>
      <c r="D712" t="s">
        <v>365</v>
      </c>
      <c r="E712" t="s">
        <v>1880</v>
      </c>
      <c r="F712" t="s">
        <v>1872</v>
      </c>
      <c r="G712">
        <v>293576</v>
      </c>
      <c r="H712">
        <v>0</v>
      </c>
      <c r="I712">
        <v>2.2999999999999998</v>
      </c>
      <c r="J712">
        <v>67</v>
      </c>
      <c r="K712">
        <v>0</v>
      </c>
      <c r="L712" t="s">
        <v>50</v>
      </c>
    </row>
    <row r="713" spans="1:12">
      <c r="A713" t="s">
        <v>1881</v>
      </c>
      <c r="B713" t="s">
        <v>399</v>
      </c>
      <c r="C713" t="s">
        <v>364</v>
      </c>
      <c r="D713" t="s">
        <v>437</v>
      </c>
      <c r="E713" t="s">
        <v>1882</v>
      </c>
      <c r="G713">
        <v>423264</v>
      </c>
      <c r="H713">
        <v>27785</v>
      </c>
      <c r="I713">
        <v>4.0999999999999996</v>
      </c>
      <c r="J713">
        <v>47</v>
      </c>
      <c r="K713">
        <v>0</v>
      </c>
      <c r="L713" t="s">
        <v>50</v>
      </c>
    </row>
    <row r="714" spans="1:12">
      <c r="A714" t="s">
        <v>1883</v>
      </c>
      <c r="B714" t="s">
        <v>368</v>
      </c>
      <c r="C714" t="s">
        <v>4</v>
      </c>
      <c r="D714" t="s">
        <v>383</v>
      </c>
      <c r="E714" t="s">
        <v>661</v>
      </c>
      <c r="G714">
        <v>96616</v>
      </c>
      <c r="H714">
        <v>1763005</v>
      </c>
      <c r="I714">
        <v>2.6</v>
      </c>
      <c r="J714">
        <v>57</v>
      </c>
      <c r="K714">
        <v>1</v>
      </c>
      <c r="L714" t="s">
        <v>50</v>
      </c>
    </row>
    <row r="715" spans="1:12">
      <c r="A715" t="s">
        <v>1884</v>
      </c>
      <c r="B715" t="s">
        <v>374</v>
      </c>
      <c r="C715" t="s">
        <v>382</v>
      </c>
      <c r="D715" t="s">
        <v>378</v>
      </c>
      <c r="E715" t="s">
        <v>1885</v>
      </c>
      <c r="G715">
        <v>481166</v>
      </c>
      <c r="H715">
        <v>44557</v>
      </c>
      <c r="I715">
        <v>2.5</v>
      </c>
      <c r="J715">
        <v>47</v>
      </c>
      <c r="K715">
        <v>0</v>
      </c>
      <c r="L715" t="s">
        <v>50</v>
      </c>
    </row>
    <row r="716" spans="1:12">
      <c r="A716" t="s">
        <v>1886</v>
      </c>
      <c r="B716" t="s">
        <v>363</v>
      </c>
      <c r="C716" t="s">
        <v>4</v>
      </c>
      <c r="D716" t="s">
        <v>437</v>
      </c>
      <c r="E716" t="s">
        <v>1887</v>
      </c>
      <c r="G716">
        <v>332754</v>
      </c>
      <c r="H716">
        <v>2091420</v>
      </c>
      <c r="I716">
        <v>3.7</v>
      </c>
      <c r="J716">
        <v>54</v>
      </c>
      <c r="K716">
        <v>0</v>
      </c>
      <c r="L716" t="s">
        <v>50</v>
      </c>
    </row>
    <row r="717" spans="1:12">
      <c r="A717" t="s">
        <v>1888</v>
      </c>
      <c r="B717" t="s">
        <v>374</v>
      </c>
      <c r="C717" t="s">
        <v>382</v>
      </c>
      <c r="D717" t="s">
        <v>383</v>
      </c>
      <c r="E717" t="s">
        <v>1889</v>
      </c>
      <c r="G717">
        <v>152066</v>
      </c>
      <c r="H717">
        <v>0</v>
      </c>
      <c r="I717">
        <v>1.5</v>
      </c>
      <c r="J717">
        <v>88</v>
      </c>
      <c r="K717">
        <v>3</v>
      </c>
      <c r="L717" t="s">
        <v>50</v>
      </c>
    </row>
    <row r="718" spans="1:12">
      <c r="A718" t="s">
        <v>1890</v>
      </c>
      <c r="B718" t="s">
        <v>368</v>
      </c>
      <c r="C718" t="s">
        <v>364</v>
      </c>
      <c r="D718" t="s">
        <v>387</v>
      </c>
      <c r="E718" t="s">
        <v>1891</v>
      </c>
      <c r="G718">
        <v>45936</v>
      </c>
      <c r="H718">
        <v>0</v>
      </c>
      <c r="I718">
        <v>1.1000000000000001</v>
      </c>
      <c r="J718">
        <v>81</v>
      </c>
      <c r="K718">
        <v>2</v>
      </c>
      <c r="L718" t="s">
        <v>50</v>
      </c>
    </row>
    <row r="719" spans="1:12">
      <c r="A719" t="s">
        <v>1892</v>
      </c>
      <c r="B719" t="s">
        <v>368</v>
      </c>
      <c r="C719" t="s">
        <v>382</v>
      </c>
      <c r="D719" t="s">
        <v>417</v>
      </c>
      <c r="E719" t="s">
        <v>1893</v>
      </c>
      <c r="G719">
        <v>397555</v>
      </c>
      <c r="H719">
        <v>0</v>
      </c>
      <c r="I719">
        <v>3.8</v>
      </c>
      <c r="J719">
        <v>95</v>
      </c>
      <c r="K719">
        <v>1</v>
      </c>
      <c r="L719" t="s">
        <v>50</v>
      </c>
    </row>
    <row r="720" spans="1:12">
      <c r="A720" t="s">
        <v>1894</v>
      </c>
      <c r="B720" t="s">
        <v>363</v>
      </c>
      <c r="C720" t="s">
        <v>4</v>
      </c>
      <c r="D720" t="s">
        <v>383</v>
      </c>
      <c r="E720" t="s">
        <v>1895</v>
      </c>
      <c r="G720">
        <v>107612</v>
      </c>
      <c r="H720">
        <v>606686</v>
      </c>
      <c r="I720">
        <v>4.5999999999999996</v>
      </c>
      <c r="J720">
        <v>74</v>
      </c>
      <c r="K720">
        <v>1</v>
      </c>
      <c r="L720" t="s">
        <v>50</v>
      </c>
    </row>
    <row r="721" spans="1:12">
      <c r="A721" t="s">
        <v>1896</v>
      </c>
      <c r="B721" t="s">
        <v>374</v>
      </c>
      <c r="C721" t="s">
        <v>364</v>
      </c>
      <c r="D721" t="s">
        <v>369</v>
      </c>
      <c r="E721" t="s">
        <v>802</v>
      </c>
      <c r="G721">
        <v>179532</v>
      </c>
      <c r="H721">
        <v>15704</v>
      </c>
      <c r="I721">
        <v>3.9</v>
      </c>
      <c r="J721">
        <v>91</v>
      </c>
      <c r="K721">
        <v>1</v>
      </c>
      <c r="L721" t="s">
        <v>93</v>
      </c>
    </row>
    <row r="722" spans="1:12">
      <c r="A722" t="s">
        <v>1897</v>
      </c>
      <c r="B722" t="s">
        <v>374</v>
      </c>
      <c r="C722" t="s">
        <v>4</v>
      </c>
      <c r="D722" t="s">
        <v>437</v>
      </c>
      <c r="E722" t="s">
        <v>1898</v>
      </c>
      <c r="G722">
        <v>307932</v>
      </c>
      <c r="H722">
        <v>816251</v>
      </c>
      <c r="I722">
        <v>1</v>
      </c>
      <c r="J722">
        <v>84</v>
      </c>
      <c r="K722">
        <v>2</v>
      </c>
      <c r="L722" t="s">
        <v>50</v>
      </c>
    </row>
    <row r="723" spans="1:12">
      <c r="A723" t="s">
        <v>1899</v>
      </c>
      <c r="B723" t="s">
        <v>399</v>
      </c>
      <c r="C723" t="s">
        <v>382</v>
      </c>
      <c r="D723" t="s">
        <v>383</v>
      </c>
      <c r="E723" t="s">
        <v>1900</v>
      </c>
      <c r="G723">
        <v>84136</v>
      </c>
      <c r="H723">
        <v>0</v>
      </c>
      <c r="I723">
        <v>3.7</v>
      </c>
      <c r="J723">
        <v>75</v>
      </c>
      <c r="K723">
        <v>0</v>
      </c>
      <c r="L723" t="s">
        <v>50</v>
      </c>
    </row>
    <row r="724" spans="1:12">
      <c r="A724" t="s">
        <v>1901</v>
      </c>
      <c r="B724" t="s">
        <v>368</v>
      </c>
      <c r="C724" t="s">
        <v>382</v>
      </c>
      <c r="D724" t="s">
        <v>383</v>
      </c>
      <c r="E724" t="s">
        <v>1902</v>
      </c>
      <c r="G724">
        <v>125482</v>
      </c>
      <c r="H724">
        <v>0</v>
      </c>
      <c r="I724">
        <v>4.2</v>
      </c>
      <c r="J724">
        <v>59</v>
      </c>
      <c r="K724">
        <v>1</v>
      </c>
      <c r="L724" t="s">
        <v>50</v>
      </c>
    </row>
    <row r="725" spans="1:12">
      <c r="A725" t="s">
        <v>1903</v>
      </c>
      <c r="B725" t="s">
        <v>374</v>
      </c>
      <c r="C725" t="s">
        <v>382</v>
      </c>
      <c r="D725" t="s">
        <v>369</v>
      </c>
      <c r="E725" t="s">
        <v>1904</v>
      </c>
      <c r="G725">
        <v>231699</v>
      </c>
      <c r="H725">
        <v>32530</v>
      </c>
      <c r="I725">
        <v>4.7</v>
      </c>
      <c r="J725">
        <v>88</v>
      </c>
      <c r="K725">
        <v>2</v>
      </c>
      <c r="L725" t="s">
        <v>50</v>
      </c>
    </row>
    <row r="726" spans="1:12">
      <c r="A726" t="s">
        <v>1905</v>
      </c>
      <c r="B726" t="s">
        <v>368</v>
      </c>
      <c r="C726" t="s">
        <v>4</v>
      </c>
      <c r="D726" t="s">
        <v>369</v>
      </c>
      <c r="E726" t="s">
        <v>1906</v>
      </c>
      <c r="G726">
        <v>141651</v>
      </c>
      <c r="H726">
        <v>1831291</v>
      </c>
      <c r="I726">
        <v>3.7</v>
      </c>
      <c r="J726">
        <v>44</v>
      </c>
      <c r="K726">
        <v>0</v>
      </c>
      <c r="L726" t="s">
        <v>50</v>
      </c>
    </row>
    <row r="727" spans="1:12">
      <c r="A727" t="s">
        <v>1907</v>
      </c>
      <c r="B727" t="s">
        <v>374</v>
      </c>
      <c r="C727" t="s">
        <v>364</v>
      </c>
      <c r="D727" t="s">
        <v>387</v>
      </c>
      <c r="E727" t="s">
        <v>1626</v>
      </c>
      <c r="G727">
        <v>43582</v>
      </c>
      <c r="H727">
        <v>41645</v>
      </c>
      <c r="I727">
        <v>4</v>
      </c>
      <c r="J727">
        <v>52</v>
      </c>
      <c r="K727">
        <v>2</v>
      </c>
      <c r="L727" t="s">
        <v>50</v>
      </c>
    </row>
    <row r="728" spans="1:12">
      <c r="A728" t="s">
        <v>1908</v>
      </c>
      <c r="B728" t="s">
        <v>368</v>
      </c>
      <c r="C728" t="s">
        <v>375</v>
      </c>
      <c r="D728" t="s">
        <v>437</v>
      </c>
      <c r="E728" t="s">
        <v>1909</v>
      </c>
      <c r="G728">
        <v>371826</v>
      </c>
      <c r="H728">
        <v>0</v>
      </c>
      <c r="I728">
        <v>1.8</v>
      </c>
      <c r="J728">
        <v>52</v>
      </c>
      <c r="K728">
        <v>0</v>
      </c>
      <c r="L728" t="s">
        <v>50</v>
      </c>
    </row>
    <row r="729" spans="1:12">
      <c r="A729" t="s">
        <v>1910</v>
      </c>
      <c r="B729" t="s">
        <v>399</v>
      </c>
      <c r="C729" t="s">
        <v>375</v>
      </c>
      <c r="D729" t="s">
        <v>437</v>
      </c>
      <c r="E729" t="s">
        <v>1911</v>
      </c>
      <c r="G729">
        <v>380646</v>
      </c>
      <c r="H729">
        <v>0</v>
      </c>
      <c r="I729">
        <v>4.2</v>
      </c>
      <c r="J729">
        <v>43</v>
      </c>
      <c r="K729">
        <v>0</v>
      </c>
      <c r="L729" t="s">
        <v>50</v>
      </c>
    </row>
    <row r="730" spans="1:12">
      <c r="A730" t="s">
        <v>1912</v>
      </c>
      <c r="B730" t="s">
        <v>363</v>
      </c>
      <c r="C730" t="s">
        <v>375</v>
      </c>
      <c r="D730" t="s">
        <v>365</v>
      </c>
      <c r="E730" t="s">
        <v>1913</v>
      </c>
      <c r="G730">
        <v>264832</v>
      </c>
      <c r="H730">
        <v>0</v>
      </c>
      <c r="I730">
        <v>5</v>
      </c>
      <c r="J730">
        <v>66</v>
      </c>
      <c r="K730">
        <v>0</v>
      </c>
      <c r="L730" t="s">
        <v>50</v>
      </c>
    </row>
    <row r="731" spans="1:12">
      <c r="A731" t="s">
        <v>1914</v>
      </c>
      <c r="B731" t="s">
        <v>374</v>
      </c>
      <c r="C731" t="s">
        <v>4</v>
      </c>
      <c r="D731" t="s">
        <v>369</v>
      </c>
      <c r="E731" t="s">
        <v>1915</v>
      </c>
      <c r="G731">
        <v>233034</v>
      </c>
      <c r="H731">
        <v>242180</v>
      </c>
      <c r="I731">
        <v>3.6</v>
      </c>
      <c r="J731">
        <v>89</v>
      </c>
      <c r="K731">
        <v>0</v>
      </c>
      <c r="L731" t="s">
        <v>50</v>
      </c>
    </row>
    <row r="732" spans="1:12">
      <c r="A732" t="s">
        <v>1916</v>
      </c>
      <c r="B732" t="s">
        <v>374</v>
      </c>
      <c r="C732" t="s">
        <v>364</v>
      </c>
      <c r="D732" t="s">
        <v>365</v>
      </c>
      <c r="E732" t="s">
        <v>1917</v>
      </c>
      <c r="G732">
        <v>161016</v>
      </c>
      <c r="H732">
        <v>13129</v>
      </c>
      <c r="I732">
        <v>4.4000000000000004</v>
      </c>
      <c r="J732">
        <v>96</v>
      </c>
      <c r="K732">
        <v>3</v>
      </c>
      <c r="L732" t="s">
        <v>50</v>
      </c>
    </row>
    <row r="733" spans="1:12">
      <c r="A733" t="s">
        <v>1918</v>
      </c>
      <c r="B733" t="s">
        <v>399</v>
      </c>
      <c r="C733" t="s">
        <v>382</v>
      </c>
      <c r="D733" t="s">
        <v>383</v>
      </c>
      <c r="E733" t="s">
        <v>1919</v>
      </c>
      <c r="G733">
        <v>83526</v>
      </c>
      <c r="H733">
        <v>35294</v>
      </c>
      <c r="I733">
        <v>3.4</v>
      </c>
      <c r="J733">
        <v>52</v>
      </c>
      <c r="K733">
        <v>1</v>
      </c>
      <c r="L733" t="s">
        <v>50</v>
      </c>
    </row>
    <row r="734" spans="1:12">
      <c r="A734" t="s">
        <v>1920</v>
      </c>
      <c r="B734" t="s">
        <v>399</v>
      </c>
      <c r="C734" t="s">
        <v>4</v>
      </c>
      <c r="D734" t="s">
        <v>378</v>
      </c>
      <c r="E734" t="s">
        <v>1921</v>
      </c>
      <c r="F734" t="s">
        <v>1922</v>
      </c>
      <c r="G734">
        <v>366975</v>
      </c>
      <c r="H734">
        <v>814269</v>
      </c>
      <c r="I734">
        <v>3.4</v>
      </c>
      <c r="J734">
        <v>97</v>
      </c>
      <c r="K734">
        <v>3</v>
      </c>
      <c r="L734" t="s">
        <v>50</v>
      </c>
    </row>
    <row r="735" spans="1:12">
      <c r="A735" t="s">
        <v>1923</v>
      </c>
      <c r="B735" t="s">
        <v>368</v>
      </c>
      <c r="C735" t="s">
        <v>364</v>
      </c>
      <c r="D735" t="s">
        <v>437</v>
      </c>
      <c r="E735" t="s">
        <v>1924</v>
      </c>
      <c r="G735">
        <v>286926</v>
      </c>
      <c r="H735">
        <v>0</v>
      </c>
      <c r="I735">
        <v>2</v>
      </c>
      <c r="J735">
        <v>80</v>
      </c>
      <c r="K735">
        <v>2</v>
      </c>
      <c r="L735" t="s">
        <v>50</v>
      </c>
    </row>
    <row r="736" spans="1:12">
      <c r="A736" t="s">
        <v>1925</v>
      </c>
      <c r="B736" t="s">
        <v>399</v>
      </c>
      <c r="C736" t="s">
        <v>4</v>
      </c>
      <c r="D736" t="s">
        <v>378</v>
      </c>
      <c r="E736" t="s">
        <v>1926</v>
      </c>
      <c r="G736">
        <v>357434</v>
      </c>
      <c r="H736">
        <v>1642039</v>
      </c>
      <c r="I736">
        <v>3.3</v>
      </c>
      <c r="J736">
        <v>46</v>
      </c>
      <c r="K736">
        <v>1</v>
      </c>
      <c r="L736" t="s">
        <v>50</v>
      </c>
    </row>
    <row r="737" spans="1:12">
      <c r="A737" t="s">
        <v>1927</v>
      </c>
      <c r="B737" t="s">
        <v>374</v>
      </c>
      <c r="C737" t="s">
        <v>364</v>
      </c>
      <c r="D737" t="s">
        <v>417</v>
      </c>
      <c r="E737" t="s">
        <v>1928</v>
      </c>
      <c r="F737" t="s">
        <v>1929</v>
      </c>
      <c r="G737">
        <v>231485</v>
      </c>
      <c r="H737">
        <v>0</v>
      </c>
      <c r="I737">
        <v>1.4</v>
      </c>
      <c r="J737">
        <v>78</v>
      </c>
      <c r="K737">
        <v>1</v>
      </c>
      <c r="L737" t="s">
        <v>50</v>
      </c>
    </row>
    <row r="738" spans="1:12">
      <c r="A738" t="s">
        <v>1930</v>
      </c>
      <c r="B738" t="s">
        <v>363</v>
      </c>
      <c r="C738" t="s">
        <v>364</v>
      </c>
      <c r="D738" t="s">
        <v>417</v>
      </c>
      <c r="E738" t="s">
        <v>1931</v>
      </c>
      <c r="G738">
        <v>389280</v>
      </c>
      <c r="H738">
        <v>0</v>
      </c>
      <c r="I738">
        <v>1.3</v>
      </c>
      <c r="J738">
        <v>71</v>
      </c>
      <c r="K738">
        <v>1</v>
      </c>
      <c r="L738" t="s">
        <v>50</v>
      </c>
    </row>
    <row r="739" spans="1:12">
      <c r="A739" t="s">
        <v>1932</v>
      </c>
      <c r="B739" t="s">
        <v>368</v>
      </c>
      <c r="C739" t="s">
        <v>382</v>
      </c>
      <c r="D739" t="s">
        <v>437</v>
      </c>
      <c r="E739" t="s">
        <v>1933</v>
      </c>
      <c r="G739">
        <v>404124</v>
      </c>
      <c r="H739">
        <v>0</v>
      </c>
      <c r="I739">
        <v>2.9</v>
      </c>
      <c r="J739">
        <v>91</v>
      </c>
      <c r="K739">
        <v>0</v>
      </c>
      <c r="L739" t="s">
        <v>50</v>
      </c>
    </row>
    <row r="740" spans="1:12">
      <c r="A740" t="s">
        <v>1934</v>
      </c>
      <c r="B740" t="s">
        <v>363</v>
      </c>
      <c r="C740" t="s">
        <v>375</v>
      </c>
      <c r="D740" t="s">
        <v>378</v>
      </c>
      <c r="E740" t="s">
        <v>1935</v>
      </c>
      <c r="G740">
        <v>283738</v>
      </c>
      <c r="H740">
        <v>48936</v>
      </c>
      <c r="I740">
        <v>3.8</v>
      </c>
      <c r="J740">
        <v>70</v>
      </c>
      <c r="K740">
        <v>1</v>
      </c>
      <c r="L740" t="s">
        <v>50</v>
      </c>
    </row>
    <row r="741" spans="1:12">
      <c r="A741" t="s">
        <v>1936</v>
      </c>
      <c r="B741" t="s">
        <v>363</v>
      </c>
      <c r="C741" t="s">
        <v>375</v>
      </c>
      <c r="D741" t="s">
        <v>365</v>
      </c>
      <c r="E741" t="s">
        <v>1937</v>
      </c>
      <c r="G741">
        <v>311804</v>
      </c>
      <c r="H741">
        <v>0</v>
      </c>
      <c r="I741">
        <v>1</v>
      </c>
      <c r="J741">
        <v>64</v>
      </c>
      <c r="K741">
        <v>0</v>
      </c>
      <c r="L741" t="s">
        <v>93</v>
      </c>
    </row>
    <row r="742" spans="1:12">
      <c r="A742" t="s">
        <v>1938</v>
      </c>
      <c r="B742" t="s">
        <v>368</v>
      </c>
      <c r="C742" t="s">
        <v>4</v>
      </c>
      <c r="D742" t="s">
        <v>387</v>
      </c>
      <c r="E742" t="s">
        <v>1509</v>
      </c>
      <c r="G742">
        <v>49299</v>
      </c>
      <c r="H742">
        <v>1098333</v>
      </c>
      <c r="I742">
        <v>1.6</v>
      </c>
      <c r="J742">
        <v>82</v>
      </c>
      <c r="K742">
        <v>3</v>
      </c>
      <c r="L742" t="s">
        <v>50</v>
      </c>
    </row>
    <row r="743" spans="1:12">
      <c r="A743" t="s">
        <v>1939</v>
      </c>
      <c r="B743" t="s">
        <v>399</v>
      </c>
      <c r="C743" t="s">
        <v>4</v>
      </c>
      <c r="D743" t="s">
        <v>387</v>
      </c>
      <c r="E743" t="s">
        <v>1940</v>
      </c>
      <c r="G743">
        <v>44219</v>
      </c>
      <c r="H743">
        <v>634105</v>
      </c>
      <c r="I743">
        <v>2.6</v>
      </c>
      <c r="J743">
        <v>92</v>
      </c>
      <c r="K743">
        <v>3</v>
      </c>
      <c r="L743" t="s">
        <v>50</v>
      </c>
    </row>
    <row r="744" spans="1:12">
      <c r="A744" t="s">
        <v>1941</v>
      </c>
      <c r="B744" t="s">
        <v>374</v>
      </c>
      <c r="C744" t="s">
        <v>364</v>
      </c>
      <c r="D744" t="s">
        <v>378</v>
      </c>
      <c r="E744" t="s">
        <v>767</v>
      </c>
      <c r="G744">
        <v>513142</v>
      </c>
      <c r="H744">
        <v>0</v>
      </c>
      <c r="I744">
        <v>3.1</v>
      </c>
      <c r="J744">
        <v>90</v>
      </c>
      <c r="K744">
        <v>3</v>
      </c>
      <c r="L744" t="s">
        <v>50</v>
      </c>
    </row>
    <row r="745" spans="1:12">
      <c r="A745" t="s">
        <v>1942</v>
      </c>
      <c r="B745" t="s">
        <v>374</v>
      </c>
      <c r="C745" t="s">
        <v>375</v>
      </c>
      <c r="D745" t="s">
        <v>365</v>
      </c>
      <c r="E745" t="s">
        <v>1822</v>
      </c>
      <c r="F745" t="s">
        <v>1943</v>
      </c>
      <c r="G745">
        <v>303432</v>
      </c>
      <c r="H745">
        <v>0</v>
      </c>
      <c r="I745">
        <v>2.6</v>
      </c>
      <c r="J745">
        <v>51</v>
      </c>
      <c r="K745">
        <v>2</v>
      </c>
      <c r="L745" t="s">
        <v>50</v>
      </c>
    </row>
    <row r="746" spans="1:12">
      <c r="A746" t="s">
        <v>1944</v>
      </c>
      <c r="B746" t="s">
        <v>374</v>
      </c>
      <c r="C746" t="s">
        <v>4</v>
      </c>
      <c r="D746" t="s">
        <v>417</v>
      </c>
      <c r="E746" t="s">
        <v>1945</v>
      </c>
      <c r="G746">
        <v>314230</v>
      </c>
      <c r="H746">
        <v>1938087</v>
      </c>
      <c r="I746">
        <v>3.3</v>
      </c>
      <c r="J746">
        <v>89</v>
      </c>
      <c r="K746">
        <v>0</v>
      </c>
      <c r="L746" t="s">
        <v>93</v>
      </c>
    </row>
    <row r="747" spans="1:12">
      <c r="A747" t="s">
        <v>1946</v>
      </c>
      <c r="B747" t="s">
        <v>368</v>
      </c>
      <c r="C747" t="s">
        <v>375</v>
      </c>
      <c r="D747" t="s">
        <v>378</v>
      </c>
      <c r="E747" t="s">
        <v>1947</v>
      </c>
      <c r="G747">
        <v>328202</v>
      </c>
      <c r="H747">
        <v>0</v>
      </c>
      <c r="I747">
        <v>3.1</v>
      </c>
      <c r="J747">
        <v>42</v>
      </c>
      <c r="K747">
        <v>2</v>
      </c>
      <c r="L747" t="s">
        <v>50</v>
      </c>
    </row>
    <row r="748" spans="1:12">
      <c r="A748" t="s">
        <v>1948</v>
      </c>
      <c r="B748" t="s">
        <v>368</v>
      </c>
      <c r="C748" t="s">
        <v>364</v>
      </c>
      <c r="D748" t="s">
        <v>378</v>
      </c>
      <c r="E748" t="s">
        <v>1949</v>
      </c>
      <c r="G748">
        <v>394065</v>
      </c>
      <c r="H748">
        <v>0</v>
      </c>
      <c r="I748">
        <v>4.3</v>
      </c>
      <c r="J748">
        <v>47</v>
      </c>
      <c r="K748">
        <v>2</v>
      </c>
      <c r="L748" t="s">
        <v>93</v>
      </c>
    </row>
    <row r="749" spans="1:12">
      <c r="A749" t="s">
        <v>1950</v>
      </c>
      <c r="B749" t="s">
        <v>368</v>
      </c>
      <c r="C749" t="s">
        <v>375</v>
      </c>
      <c r="D749" t="s">
        <v>417</v>
      </c>
      <c r="E749" t="s">
        <v>1951</v>
      </c>
      <c r="F749" t="s">
        <v>1952</v>
      </c>
      <c r="G749">
        <v>393415</v>
      </c>
      <c r="H749">
        <v>0</v>
      </c>
      <c r="I749">
        <v>2.6</v>
      </c>
      <c r="J749">
        <v>90</v>
      </c>
      <c r="K749">
        <v>0</v>
      </c>
      <c r="L749" t="s">
        <v>50</v>
      </c>
    </row>
    <row r="750" spans="1:12">
      <c r="A750" t="s">
        <v>1953</v>
      </c>
      <c r="B750" t="s">
        <v>399</v>
      </c>
      <c r="C750" t="s">
        <v>364</v>
      </c>
      <c r="D750" t="s">
        <v>387</v>
      </c>
      <c r="E750" t="s">
        <v>1954</v>
      </c>
      <c r="G750">
        <v>68262</v>
      </c>
      <c r="H750">
        <v>0</v>
      </c>
      <c r="I750">
        <v>1.7</v>
      </c>
      <c r="J750">
        <v>93</v>
      </c>
      <c r="K750">
        <v>0</v>
      </c>
      <c r="L750" t="s">
        <v>50</v>
      </c>
    </row>
    <row r="751" spans="1:12">
      <c r="A751" t="s">
        <v>1955</v>
      </c>
      <c r="B751" t="s">
        <v>399</v>
      </c>
      <c r="C751" t="s">
        <v>364</v>
      </c>
      <c r="D751" t="s">
        <v>369</v>
      </c>
      <c r="E751" t="s">
        <v>1956</v>
      </c>
      <c r="G751">
        <v>231294</v>
      </c>
      <c r="H751">
        <v>0</v>
      </c>
      <c r="I751">
        <v>1.5</v>
      </c>
      <c r="J751">
        <v>55</v>
      </c>
      <c r="K751">
        <v>3</v>
      </c>
      <c r="L751" t="s">
        <v>50</v>
      </c>
    </row>
    <row r="752" spans="1:12">
      <c r="A752" t="s">
        <v>1957</v>
      </c>
      <c r="B752" t="s">
        <v>368</v>
      </c>
      <c r="C752" t="s">
        <v>375</v>
      </c>
      <c r="D752" t="s">
        <v>437</v>
      </c>
      <c r="E752" t="s">
        <v>1958</v>
      </c>
      <c r="G752">
        <v>396222</v>
      </c>
      <c r="H752">
        <v>0</v>
      </c>
      <c r="I752">
        <v>2.9</v>
      </c>
      <c r="J752">
        <v>100</v>
      </c>
      <c r="K752">
        <v>0</v>
      </c>
      <c r="L752" t="s">
        <v>50</v>
      </c>
    </row>
    <row r="753" spans="1:12">
      <c r="A753" t="s">
        <v>1959</v>
      </c>
      <c r="B753" t="s">
        <v>368</v>
      </c>
      <c r="C753" t="s">
        <v>364</v>
      </c>
      <c r="D753" t="s">
        <v>437</v>
      </c>
      <c r="E753" t="s">
        <v>1960</v>
      </c>
      <c r="G753">
        <v>440262</v>
      </c>
      <c r="H753">
        <v>0</v>
      </c>
      <c r="I753">
        <v>1.5</v>
      </c>
      <c r="J753">
        <v>86</v>
      </c>
      <c r="K753">
        <v>0</v>
      </c>
      <c r="L753" t="s">
        <v>50</v>
      </c>
    </row>
    <row r="754" spans="1:12">
      <c r="A754" t="s">
        <v>1961</v>
      </c>
      <c r="B754" t="s">
        <v>374</v>
      </c>
      <c r="C754" t="s">
        <v>364</v>
      </c>
      <c r="D754" t="s">
        <v>417</v>
      </c>
      <c r="E754" t="s">
        <v>1285</v>
      </c>
      <c r="G754">
        <v>233560</v>
      </c>
      <c r="H754">
        <v>0</v>
      </c>
      <c r="I754">
        <v>1.9</v>
      </c>
      <c r="J754">
        <v>100</v>
      </c>
      <c r="K754">
        <v>1</v>
      </c>
      <c r="L754" t="s">
        <v>50</v>
      </c>
    </row>
    <row r="755" spans="1:12">
      <c r="A755" t="s">
        <v>1962</v>
      </c>
      <c r="B755" t="s">
        <v>363</v>
      </c>
      <c r="C755" t="s">
        <v>4</v>
      </c>
      <c r="D755" t="s">
        <v>378</v>
      </c>
      <c r="E755" t="s">
        <v>832</v>
      </c>
      <c r="G755">
        <v>507115</v>
      </c>
      <c r="H755">
        <v>2343557</v>
      </c>
      <c r="I755">
        <v>4.2</v>
      </c>
      <c r="J755">
        <v>61</v>
      </c>
      <c r="K755">
        <v>1</v>
      </c>
      <c r="L755" t="s">
        <v>50</v>
      </c>
    </row>
    <row r="756" spans="1:12">
      <c r="A756" t="s">
        <v>1963</v>
      </c>
      <c r="B756" t="s">
        <v>368</v>
      </c>
      <c r="C756" t="s">
        <v>364</v>
      </c>
      <c r="D756" t="s">
        <v>383</v>
      </c>
      <c r="E756" t="s">
        <v>1964</v>
      </c>
      <c r="F756" t="s">
        <v>1965</v>
      </c>
      <c r="G756">
        <v>105222</v>
      </c>
      <c r="H756">
        <v>37258</v>
      </c>
      <c r="I756">
        <v>3.5</v>
      </c>
      <c r="J756">
        <v>81</v>
      </c>
      <c r="K756">
        <v>0</v>
      </c>
      <c r="L756" t="s">
        <v>50</v>
      </c>
    </row>
    <row r="757" spans="1:12">
      <c r="A757" t="s">
        <v>1966</v>
      </c>
      <c r="B757" t="s">
        <v>374</v>
      </c>
      <c r="C757" t="s">
        <v>364</v>
      </c>
      <c r="D757" t="s">
        <v>365</v>
      </c>
      <c r="E757" t="s">
        <v>1967</v>
      </c>
      <c r="G757">
        <v>217600</v>
      </c>
      <c r="H757">
        <v>0</v>
      </c>
      <c r="I757">
        <v>4.8</v>
      </c>
      <c r="J757">
        <v>65</v>
      </c>
      <c r="K757">
        <v>2</v>
      </c>
      <c r="L757" t="s">
        <v>50</v>
      </c>
    </row>
    <row r="758" spans="1:12">
      <c r="A758" t="s">
        <v>1968</v>
      </c>
      <c r="B758" t="s">
        <v>363</v>
      </c>
      <c r="C758" t="s">
        <v>4</v>
      </c>
      <c r="D758" t="s">
        <v>378</v>
      </c>
      <c r="E758" t="s">
        <v>1969</v>
      </c>
      <c r="G758">
        <v>538790</v>
      </c>
      <c r="H758">
        <v>518693</v>
      </c>
      <c r="I758">
        <v>1.3</v>
      </c>
      <c r="J758">
        <v>72</v>
      </c>
      <c r="K758">
        <v>1</v>
      </c>
      <c r="L758" t="s">
        <v>50</v>
      </c>
    </row>
    <row r="759" spans="1:12">
      <c r="A759" t="s">
        <v>1970</v>
      </c>
      <c r="B759" t="s">
        <v>368</v>
      </c>
      <c r="C759" t="s">
        <v>4</v>
      </c>
      <c r="D759" t="s">
        <v>365</v>
      </c>
      <c r="E759" t="s">
        <v>1895</v>
      </c>
      <c r="G759">
        <v>215204</v>
      </c>
      <c r="H759">
        <v>2414543</v>
      </c>
      <c r="I759">
        <v>2.2999999999999998</v>
      </c>
      <c r="J759">
        <v>100</v>
      </c>
      <c r="K759">
        <v>0</v>
      </c>
      <c r="L759" t="s">
        <v>50</v>
      </c>
    </row>
    <row r="760" spans="1:12">
      <c r="A760" t="s">
        <v>1971</v>
      </c>
      <c r="B760" t="s">
        <v>399</v>
      </c>
      <c r="C760" t="s">
        <v>382</v>
      </c>
      <c r="D760" t="s">
        <v>437</v>
      </c>
      <c r="E760" t="s">
        <v>1972</v>
      </c>
      <c r="G760">
        <v>406248</v>
      </c>
      <c r="H760">
        <v>34415</v>
      </c>
      <c r="I760">
        <v>1.6</v>
      </c>
      <c r="J760">
        <v>63</v>
      </c>
      <c r="K760">
        <v>0</v>
      </c>
      <c r="L760" t="s">
        <v>50</v>
      </c>
    </row>
    <row r="761" spans="1:12">
      <c r="A761" t="s">
        <v>1973</v>
      </c>
      <c r="B761" t="s">
        <v>374</v>
      </c>
      <c r="C761" t="s">
        <v>364</v>
      </c>
      <c r="D761" t="s">
        <v>369</v>
      </c>
      <c r="E761" t="s">
        <v>1974</v>
      </c>
      <c r="G761">
        <v>177894</v>
      </c>
      <c r="H761">
        <v>0</v>
      </c>
      <c r="I761">
        <v>3.7</v>
      </c>
      <c r="J761">
        <v>95</v>
      </c>
      <c r="K761">
        <v>1</v>
      </c>
      <c r="L761" t="s">
        <v>50</v>
      </c>
    </row>
    <row r="762" spans="1:12">
      <c r="A762" t="s">
        <v>1975</v>
      </c>
      <c r="B762" t="s">
        <v>399</v>
      </c>
      <c r="C762" t="s">
        <v>4</v>
      </c>
      <c r="D762" t="s">
        <v>383</v>
      </c>
      <c r="E762" t="s">
        <v>1976</v>
      </c>
      <c r="G762">
        <v>132614</v>
      </c>
      <c r="H762">
        <v>1629057</v>
      </c>
      <c r="I762">
        <v>1.4</v>
      </c>
      <c r="J762">
        <v>90</v>
      </c>
      <c r="K762">
        <v>0</v>
      </c>
      <c r="L762" t="s">
        <v>50</v>
      </c>
    </row>
    <row r="763" spans="1:12">
      <c r="A763" t="s">
        <v>1977</v>
      </c>
      <c r="B763" t="s">
        <v>363</v>
      </c>
      <c r="C763" t="s">
        <v>382</v>
      </c>
      <c r="D763" t="s">
        <v>378</v>
      </c>
      <c r="E763" t="s">
        <v>1978</v>
      </c>
      <c r="G763">
        <v>431277</v>
      </c>
      <c r="H763">
        <v>44679</v>
      </c>
      <c r="I763">
        <v>4.0999999999999996</v>
      </c>
      <c r="J763">
        <v>87</v>
      </c>
      <c r="K763">
        <v>1</v>
      </c>
      <c r="L763" t="s">
        <v>50</v>
      </c>
    </row>
    <row r="764" spans="1:12">
      <c r="A764" t="s">
        <v>1979</v>
      </c>
      <c r="B764" t="s">
        <v>363</v>
      </c>
      <c r="C764" t="s">
        <v>375</v>
      </c>
      <c r="D764" t="s">
        <v>417</v>
      </c>
      <c r="E764" t="s">
        <v>1980</v>
      </c>
      <c r="G764">
        <v>277260</v>
      </c>
      <c r="H764">
        <v>0</v>
      </c>
      <c r="I764">
        <v>3.1</v>
      </c>
      <c r="J764">
        <v>46</v>
      </c>
      <c r="K764">
        <v>2</v>
      </c>
      <c r="L764" t="s">
        <v>50</v>
      </c>
    </row>
    <row r="765" spans="1:12">
      <c r="A765" t="s">
        <v>1981</v>
      </c>
      <c r="B765" t="s">
        <v>399</v>
      </c>
      <c r="C765" t="s">
        <v>382</v>
      </c>
      <c r="D765" t="s">
        <v>437</v>
      </c>
      <c r="E765" t="s">
        <v>1982</v>
      </c>
      <c r="F765" t="s">
        <v>1983</v>
      </c>
      <c r="G765">
        <v>272982</v>
      </c>
      <c r="H765">
        <v>0</v>
      </c>
      <c r="I765">
        <v>4.3</v>
      </c>
      <c r="J765">
        <v>94</v>
      </c>
      <c r="K765">
        <v>0</v>
      </c>
      <c r="L765" t="s">
        <v>50</v>
      </c>
    </row>
    <row r="766" spans="1:12">
      <c r="A766" t="s">
        <v>1984</v>
      </c>
      <c r="B766" t="s">
        <v>368</v>
      </c>
      <c r="C766" t="s">
        <v>364</v>
      </c>
      <c r="D766" t="s">
        <v>378</v>
      </c>
      <c r="E766" t="s">
        <v>1985</v>
      </c>
      <c r="G766">
        <v>303093</v>
      </c>
      <c r="H766">
        <v>0</v>
      </c>
      <c r="I766">
        <v>2.5</v>
      </c>
      <c r="J766">
        <v>40</v>
      </c>
      <c r="K766">
        <v>1</v>
      </c>
      <c r="L766" t="s">
        <v>50</v>
      </c>
    </row>
    <row r="767" spans="1:12">
      <c r="A767" t="s">
        <v>1986</v>
      </c>
      <c r="B767" t="s">
        <v>399</v>
      </c>
      <c r="C767" t="s">
        <v>375</v>
      </c>
      <c r="D767" t="s">
        <v>417</v>
      </c>
      <c r="E767" t="s">
        <v>1974</v>
      </c>
      <c r="G767">
        <v>368155</v>
      </c>
      <c r="H767">
        <v>0</v>
      </c>
      <c r="I767">
        <v>1.2</v>
      </c>
      <c r="J767">
        <v>64</v>
      </c>
      <c r="K767">
        <v>0</v>
      </c>
      <c r="L767" t="s">
        <v>50</v>
      </c>
    </row>
    <row r="768" spans="1:12">
      <c r="A768" t="s">
        <v>1987</v>
      </c>
      <c r="B768" t="s">
        <v>368</v>
      </c>
      <c r="C768" t="s">
        <v>375</v>
      </c>
      <c r="D768" t="s">
        <v>417</v>
      </c>
      <c r="E768" t="s">
        <v>1988</v>
      </c>
      <c r="G768">
        <v>297125</v>
      </c>
      <c r="H768">
        <v>20490</v>
      </c>
      <c r="I768">
        <v>3.3</v>
      </c>
      <c r="J768">
        <v>96</v>
      </c>
      <c r="K768">
        <v>0</v>
      </c>
      <c r="L768" t="s">
        <v>50</v>
      </c>
    </row>
    <row r="769" spans="1:12">
      <c r="A769" t="s">
        <v>1989</v>
      </c>
      <c r="B769" t="s">
        <v>368</v>
      </c>
      <c r="C769" t="s">
        <v>364</v>
      </c>
      <c r="D769" t="s">
        <v>369</v>
      </c>
      <c r="E769" t="s">
        <v>1990</v>
      </c>
      <c r="G769">
        <v>193152</v>
      </c>
      <c r="H769">
        <v>10507</v>
      </c>
      <c r="I769">
        <v>3.3</v>
      </c>
      <c r="J769">
        <v>89</v>
      </c>
      <c r="K769">
        <v>2</v>
      </c>
      <c r="L769" t="s">
        <v>50</v>
      </c>
    </row>
    <row r="770" spans="1:12">
      <c r="A770" t="s">
        <v>1991</v>
      </c>
      <c r="B770" t="s">
        <v>368</v>
      </c>
      <c r="C770" t="s">
        <v>375</v>
      </c>
      <c r="D770" t="s">
        <v>387</v>
      </c>
      <c r="E770" t="s">
        <v>1992</v>
      </c>
      <c r="G770">
        <v>69929</v>
      </c>
      <c r="H770">
        <v>0</v>
      </c>
      <c r="I770">
        <v>2.1</v>
      </c>
      <c r="J770">
        <v>58</v>
      </c>
      <c r="K770">
        <v>1</v>
      </c>
      <c r="L770" t="s">
        <v>93</v>
      </c>
    </row>
    <row r="771" spans="1:12">
      <c r="A771" t="s">
        <v>1993</v>
      </c>
      <c r="B771" t="s">
        <v>368</v>
      </c>
      <c r="C771" t="s">
        <v>4</v>
      </c>
      <c r="D771" t="s">
        <v>437</v>
      </c>
      <c r="E771" t="s">
        <v>1994</v>
      </c>
      <c r="G771">
        <v>271824</v>
      </c>
      <c r="H771">
        <v>2131219</v>
      </c>
      <c r="I771">
        <v>1.6</v>
      </c>
      <c r="J771">
        <v>74</v>
      </c>
      <c r="K771">
        <v>0</v>
      </c>
      <c r="L771" t="s">
        <v>50</v>
      </c>
    </row>
    <row r="772" spans="1:12">
      <c r="A772" t="s">
        <v>1995</v>
      </c>
      <c r="B772" t="s">
        <v>374</v>
      </c>
      <c r="C772" t="s">
        <v>364</v>
      </c>
      <c r="D772" t="s">
        <v>437</v>
      </c>
      <c r="E772" t="s">
        <v>907</v>
      </c>
      <c r="F772" t="s">
        <v>1996</v>
      </c>
      <c r="G772">
        <v>245340</v>
      </c>
      <c r="H772">
        <v>0</v>
      </c>
      <c r="I772">
        <v>1.1000000000000001</v>
      </c>
      <c r="J772">
        <v>92</v>
      </c>
      <c r="K772">
        <v>0</v>
      </c>
      <c r="L772" t="s">
        <v>50</v>
      </c>
    </row>
    <row r="773" spans="1:12">
      <c r="A773" t="s">
        <v>1997</v>
      </c>
      <c r="B773" t="s">
        <v>363</v>
      </c>
      <c r="C773" t="s">
        <v>4</v>
      </c>
      <c r="D773" t="s">
        <v>383</v>
      </c>
      <c r="E773" t="s">
        <v>1998</v>
      </c>
      <c r="G773">
        <v>132812</v>
      </c>
      <c r="H773">
        <v>1348439</v>
      </c>
      <c r="I773">
        <v>2.6</v>
      </c>
      <c r="J773">
        <v>80</v>
      </c>
      <c r="K773">
        <v>0</v>
      </c>
      <c r="L773" t="s">
        <v>50</v>
      </c>
    </row>
    <row r="774" spans="1:12">
      <c r="A774" t="s">
        <v>1999</v>
      </c>
      <c r="B774" t="s">
        <v>399</v>
      </c>
      <c r="C774" t="s">
        <v>375</v>
      </c>
      <c r="D774" t="s">
        <v>437</v>
      </c>
      <c r="E774" t="s">
        <v>2000</v>
      </c>
      <c r="G774">
        <v>455556</v>
      </c>
      <c r="H774">
        <v>45929</v>
      </c>
      <c r="I774">
        <v>1.3</v>
      </c>
      <c r="J774">
        <v>50</v>
      </c>
      <c r="K774">
        <v>0</v>
      </c>
      <c r="L774" t="s">
        <v>50</v>
      </c>
    </row>
    <row r="775" spans="1:12">
      <c r="A775" t="s">
        <v>2001</v>
      </c>
      <c r="B775" t="s">
        <v>374</v>
      </c>
      <c r="C775" t="s">
        <v>4</v>
      </c>
      <c r="D775" t="s">
        <v>369</v>
      </c>
      <c r="E775" t="s">
        <v>2002</v>
      </c>
      <c r="G775">
        <v>131343</v>
      </c>
      <c r="H775">
        <v>237881</v>
      </c>
      <c r="I775">
        <v>4.5</v>
      </c>
      <c r="J775">
        <v>43</v>
      </c>
      <c r="K775">
        <v>0</v>
      </c>
      <c r="L775" t="s">
        <v>50</v>
      </c>
    </row>
    <row r="776" spans="1:12">
      <c r="A776" t="s">
        <v>2003</v>
      </c>
      <c r="B776" t="s">
        <v>363</v>
      </c>
      <c r="C776" t="s">
        <v>364</v>
      </c>
      <c r="D776" t="s">
        <v>417</v>
      </c>
      <c r="E776" t="s">
        <v>2004</v>
      </c>
      <c r="G776">
        <v>321255</v>
      </c>
      <c r="H776">
        <v>23449</v>
      </c>
      <c r="I776">
        <v>2.6</v>
      </c>
      <c r="J776">
        <v>41</v>
      </c>
      <c r="K776">
        <v>0</v>
      </c>
      <c r="L776" t="s">
        <v>50</v>
      </c>
    </row>
    <row r="777" spans="1:12">
      <c r="A777" t="s">
        <v>2005</v>
      </c>
      <c r="B777" t="s">
        <v>374</v>
      </c>
      <c r="C777" t="s">
        <v>375</v>
      </c>
      <c r="D777" t="s">
        <v>383</v>
      </c>
      <c r="E777" t="s">
        <v>2006</v>
      </c>
      <c r="G777">
        <v>98896</v>
      </c>
      <c r="H777">
        <v>36069</v>
      </c>
      <c r="I777">
        <v>3.5</v>
      </c>
      <c r="J777">
        <v>97</v>
      </c>
      <c r="K777">
        <v>0</v>
      </c>
      <c r="L777" t="s">
        <v>50</v>
      </c>
    </row>
    <row r="778" spans="1:12">
      <c r="A778" t="s">
        <v>2007</v>
      </c>
      <c r="B778" t="s">
        <v>363</v>
      </c>
      <c r="C778" t="s">
        <v>4</v>
      </c>
      <c r="D778" t="s">
        <v>369</v>
      </c>
      <c r="E778" t="s">
        <v>2008</v>
      </c>
      <c r="G778">
        <v>176526</v>
      </c>
      <c r="H778">
        <v>337741</v>
      </c>
      <c r="I778">
        <v>1.1000000000000001</v>
      </c>
      <c r="J778">
        <v>89</v>
      </c>
      <c r="K778">
        <v>0</v>
      </c>
      <c r="L778" t="s">
        <v>50</v>
      </c>
    </row>
    <row r="779" spans="1:12">
      <c r="A779" t="s">
        <v>2009</v>
      </c>
      <c r="B779" t="s">
        <v>368</v>
      </c>
      <c r="C779" t="s">
        <v>364</v>
      </c>
      <c r="D779" t="s">
        <v>417</v>
      </c>
      <c r="E779" t="s">
        <v>655</v>
      </c>
      <c r="G779">
        <v>267675</v>
      </c>
      <c r="H779">
        <v>0</v>
      </c>
      <c r="I779">
        <v>4</v>
      </c>
      <c r="J779">
        <v>76</v>
      </c>
      <c r="K779">
        <v>2</v>
      </c>
      <c r="L779" t="s">
        <v>50</v>
      </c>
    </row>
    <row r="780" spans="1:12">
      <c r="A780" t="s">
        <v>2010</v>
      </c>
      <c r="B780" t="s">
        <v>368</v>
      </c>
      <c r="C780" t="s">
        <v>4</v>
      </c>
      <c r="D780" t="s">
        <v>387</v>
      </c>
      <c r="E780" t="s">
        <v>2011</v>
      </c>
      <c r="G780">
        <v>48440</v>
      </c>
      <c r="H780">
        <v>2318128</v>
      </c>
      <c r="I780">
        <v>4.3</v>
      </c>
      <c r="J780">
        <v>68</v>
      </c>
      <c r="K780">
        <v>1</v>
      </c>
      <c r="L780" t="s">
        <v>50</v>
      </c>
    </row>
    <row r="781" spans="1:12">
      <c r="A781" t="s">
        <v>2012</v>
      </c>
      <c r="B781" t="s">
        <v>399</v>
      </c>
      <c r="C781" t="s">
        <v>364</v>
      </c>
      <c r="D781" t="s">
        <v>417</v>
      </c>
      <c r="E781" t="s">
        <v>2013</v>
      </c>
      <c r="G781">
        <v>276945</v>
      </c>
      <c r="H781">
        <v>0</v>
      </c>
      <c r="I781">
        <v>1.1000000000000001</v>
      </c>
      <c r="J781">
        <v>48</v>
      </c>
      <c r="K781">
        <v>0</v>
      </c>
      <c r="L781" t="s">
        <v>93</v>
      </c>
    </row>
    <row r="782" spans="1:12">
      <c r="A782" t="s">
        <v>2014</v>
      </c>
      <c r="B782" t="s">
        <v>363</v>
      </c>
      <c r="C782" t="s">
        <v>375</v>
      </c>
      <c r="D782" t="s">
        <v>437</v>
      </c>
      <c r="E782" t="s">
        <v>2015</v>
      </c>
      <c r="G782">
        <v>471144</v>
      </c>
      <c r="H782">
        <v>29715</v>
      </c>
      <c r="I782">
        <v>1.4</v>
      </c>
      <c r="J782">
        <v>61</v>
      </c>
      <c r="K782">
        <v>0</v>
      </c>
      <c r="L782" t="s">
        <v>93</v>
      </c>
    </row>
    <row r="783" spans="1:12">
      <c r="A783" t="s">
        <v>2016</v>
      </c>
      <c r="B783" t="s">
        <v>374</v>
      </c>
      <c r="C783" t="s">
        <v>4</v>
      </c>
      <c r="D783" t="s">
        <v>378</v>
      </c>
      <c r="E783" t="s">
        <v>2017</v>
      </c>
      <c r="F783" t="s">
        <v>2018</v>
      </c>
      <c r="G783">
        <v>383068</v>
      </c>
      <c r="H783">
        <v>2440475</v>
      </c>
      <c r="I783">
        <v>2.5</v>
      </c>
      <c r="J783">
        <v>74</v>
      </c>
      <c r="K783">
        <v>2</v>
      </c>
      <c r="L783" t="s">
        <v>50</v>
      </c>
    </row>
    <row r="784" spans="1:12">
      <c r="A784" t="s">
        <v>2019</v>
      </c>
      <c r="B784" t="s">
        <v>374</v>
      </c>
      <c r="C784" t="s">
        <v>4</v>
      </c>
      <c r="D784" t="s">
        <v>437</v>
      </c>
      <c r="E784" t="s">
        <v>2020</v>
      </c>
      <c r="G784">
        <v>343710</v>
      </c>
      <c r="H784">
        <v>2163453</v>
      </c>
      <c r="I784">
        <v>3.3</v>
      </c>
      <c r="J784">
        <v>98</v>
      </c>
      <c r="K784">
        <v>0</v>
      </c>
      <c r="L784" t="s">
        <v>50</v>
      </c>
    </row>
    <row r="785" spans="1:12">
      <c r="A785" t="s">
        <v>2021</v>
      </c>
      <c r="B785" t="s">
        <v>374</v>
      </c>
      <c r="C785" t="s">
        <v>375</v>
      </c>
      <c r="D785" t="s">
        <v>378</v>
      </c>
      <c r="E785" t="s">
        <v>2022</v>
      </c>
      <c r="G785">
        <v>517069</v>
      </c>
      <c r="H785">
        <v>0</v>
      </c>
      <c r="I785">
        <v>1.5</v>
      </c>
      <c r="J785">
        <v>65</v>
      </c>
      <c r="K785">
        <v>1</v>
      </c>
      <c r="L785" t="s">
        <v>50</v>
      </c>
    </row>
    <row r="786" spans="1:12">
      <c r="A786" t="s">
        <v>2023</v>
      </c>
      <c r="B786" t="s">
        <v>368</v>
      </c>
      <c r="C786" t="s">
        <v>4</v>
      </c>
      <c r="D786" t="s">
        <v>383</v>
      </c>
      <c r="E786" t="s">
        <v>2024</v>
      </c>
      <c r="F786" t="s">
        <v>2025</v>
      </c>
      <c r="G786">
        <v>129048</v>
      </c>
      <c r="H786">
        <v>1702314</v>
      </c>
      <c r="I786">
        <v>1.6</v>
      </c>
      <c r="J786">
        <v>89</v>
      </c>
      <c r="K786">
        <v>1</v>
      </c>
      <c r="L786" t="s">
        <v>50</v>
      </c>
    </row>
    <row r="787" spans="1:12">
      <c r="A787" t="s">
        <v>2026</v>
      </c>
      <c r="B787" t="s">
        <v>399</v>
      </c>
      <c r="C787" t="s">
        <v>364</v>
      </c>
      <c r="D787" t="s">
        <v>387</v>
      </c>
      <c r="E787" t="s">
        <v>2027</v>
      </c>
      <c r="F787" t="s">
        <v>2028</v>
      </c>
      <c r="G787">
        <v>56414</v>
      </c>
      <c r="H787">
        <v>0</v>
      </c>
      <c r="I787">
        <v>2.1</v>
      </c>
      <c r="J787">
        <v>75</v>
      </c>
      <c r="K787">
        <v>0</v>
      </c>
      <c r="L787" t="s">
        <v>93</v>
      </c>
    </row>
    <row r="788" spans="1:12">
      <c r="A788" t="s">
        <v>2029</v>
      </c>
      <c r="B788" t="s">
        <v>368</v>
      </c>
      <c r="C788" t="s">
        <v>375</v>
      </c>
      <c r="D788" t="s">
        <v>369</v>
      </c>
      <c r="E788" t="s">
        <v>2030</v>
      </c>
      <c r="G788">
        <v>169881</v>
      </c>
      <c r="H788">
        <v>0</v>
      </c>
      <c r="I788">
        <v>1.4</v>
      </c>
      <c r="J788">
        <v>76</v>
      </c>
      <c r="K788">
        <v>1</v>
      </c>
      <c r="L788" t="s">
        <v>50</v>
      </c>
    </row>
    <row r="789" spans="1:12">
      <c r="A789" t="s">
        <v>2031</v>
      </c>
      <c r="B789" t="s">
        <v>399</v>
      </c>
      <c r="C789" t="s">
        <v>4</v>
      </c>
      <c r="D789" t="s">
        <v>378</v>
      </c>
      <c r="E789" t="s">
        <v>2032</v>
      </c>
      <c r="G789">
        <v>442337</v>
      </c>
      <c r="H789">
        <v>1006591</v>
      </c>
      <c r="I789">
        <v>1.2</v>
      </c>
      <c r="J789">
        <v>58</v>
      </c>
      <c r="K789">
        <v>0</v>
      </c>
      <c r="L789" t="s">
        <v>50</v>
      </c>
    </row>
    <row r="790" spans="1:12">
      <c r="A790" t="s">
        <v>2033</v>
      </c>
      <c r="B790" t="s">
        <v>368</v>
      </c>
      <c r="C790" t="s">
        <v>382</v>
      </c>
      <c r="D790" t="s">
        <v>437</v>
      </c>
      <c r="E790" t="s">
        <v>985</v>
      </c>
      <c r="G790">
        <v>387060</v>
      </c>
      <c r="H790">
        <v>49096</v>
      </c>
      <c r="I790">
        <v>1.3</v>
      </c>
      <c r="J790">
        <v>65</v>
      </c>
      <c r="K790">
        <v>2</v>
      </c>
      <c r="L790" t="s">
        <v>50</v>
      </c>
    </row>
    <row r="791" spans="1:12">
      <c r="A791" t="s">
        <v>2034</v>
      </c>
      <c r="B791" t="s">
        <v>363</v>
      </c>
      <c r="C791" t="s">
        <v>4</v>
      </c>
      <c r="D791" t="s">
        <v>365</v>
      </c>
      <c r="E791" t="s">
        <v>2035</v>
      </c>
      <c r="G791">
        <v>192616</v>
      </c>
      <c r="H791">
        <v>1012021</v>
      </c>
      <c r="I791">
        <v>2.8</v>
      </c>
      <c r="J791">
        <v>96</v>
      </c>
      <c r="K791">
        <v>3</v>
      </c>
      <c r="L791" t="s">
        <v>50</v>
      </c>
    </row>
    <row r="792" spans="1:12">
      <c r="A792" t="s">
        <v>2036</v>
      </c>
      <c r="B792" t="s">
        <v>368</v>
      </c>
      <c r="C792" t="s">
        <v>382</v>
      </c>
      <c r="D792" t="s">
        <v>417</v>
      </c>
      <c r="E792" t="s">
        <v>2037</v>
      </c>
      <c r="F792" t="s">
        <v>2038</v>
      </c>
      <c r="G792">
        <v>240910</v>
      </c>
      <c r="H792">
        <v>0</v>
      </c>
      <c r="I792">
        <v>4.9000000000000004</v>
      </c>
      <c r="J792">
        <v>86</v>
      </c>
      <c r="K792">
        <v>1</v>
      </c>
      <c r="L792" t="s">
        <v>93</v>
      </c>
    </row>
    <row r="793" spans="1:12">
      <c r="A793" t="s">
        <v>2039</v>
      </c>
      <c r="B793" t="s">
        <v>363</v>
      </c>
      <c r="C793" t="s">
        <v>364</v>
      </c>
      <c r="D793" t="s">
        <v>383</v>
      </c>
      <c r="E793" t="s">
        <v>2040</v>
      </c>
      <c r="G793">
        <v>154826</v>
      </c>
      <c r="H793">
        <v>0</v>
      </c>
      <c r="I793">
        <v>2.9</v>
      </c>
      <c r="J793">
        <v>80</v>
      </c>
      <c r="K793">
        <v>0</v>
      </c>
      <c r="L793" t="s">
        <v>93</v>
      </c>
    </row>
    <row r="794" spans="1:12">
      <c r="A794" t="s">
        <v>2041</v>
      </c>
      <c r="B794" t="s">
        <v>368</v>
      </c>
      <c r="C794" t="s">
        <v>4</v>
      </c>
      <c r="D794" t="s">
        <v>437</v>
      </c>
      <c r="E794" t="s">
        <v>2042</v>
      </c>
      <c r="G794">
        <v>442452</v>
      </c>
      <c r="H794">
        <v>2280803</v>
      </c>
      <c r="I794">
        <v>1.8</v>
      </c>
      <c r="J794">
        <v>77</v>
      </c>
      <c r="K794">
        <v>1</v>
      </c>
      <c r="L794" t="s">
        <v>50</v>
      </c>
    </row>
    <row r="795" spans="1:12">
      <c r="A795" t="s">
        <v>2043</v>
      </c>
      <c r="B795" t="s">
        <v>399</v>
      </c>
      <c r="C795" t="s">
        <v>4</v>
      </c>
      <c r="D795" t="s">
        <v>387</v>
      </c>
      <c r="E795" t="s">
        <v>1169</v>
      </c>
      <c r="G795">
        <v>70063</v>
      </c>
      <c r="H795">
        <v>486510</v>
      </c>
      <c r="I795">
        <v>4.4000000000000004</v>
      </c>
      <c r="J795">
        <v>42</v>
      </c>
      <c r="K795">
        <v>1</v>
      </c>
      <c r="L795" t="s">
        <v>50</v>
      </c>
    </row>
    <row r="796" spans="1:12">
      <c r="A796" t="s">
        <v>2044</v>
      </c>
      <c r="B796" t="s">
        <v>368</v>
      </c>
      <c r="C796" t="s">
        <v>364</v>
      </c>
      <c r="D796" t="s">
        <v>383</v>
      </c>
      <c r="E796" t="s">
        <v>2045</v>
      </c>
      <c r="G796">
        <v>125352</v>
      </c>
      <c r="H796">
        <v>0</v>
      </c>
      <c r="I796">
        <v>2.4</v>
      </c>
      <c r="J796">
        <v>92</v>
      </c>
      <c r="K796">
        <v>2</v>
      </c>
      <c r="L796" t="s">
        <v>50</v>
      </c>
    </row>
    <row r="797" spans="1:12">
      <c r="A797" t="s">
        <v>2046</v>
      </c>
      <c r="B797" t="s">
        <v>374</v>
      </c>
      <c r="C797" t="s">
        <v>382</v>
      </c>
      <c r="D797" t="s">
        <v>417</v>
      </c>
      <c r="E797" t="s">
        <v>2047</v>
      </c>
      <c r="G797">
        <v>397295</v>
      </c>
      <c r="H797">
        <v>0</v>
      </c>
      <c r="I797">
        <v>3.2</v>
      </c>
      <c r="J797">
        <v>81</v>
      </c>
      <c r="K797">
        <v>0</v>
      </c>
      <c r="L797" t="s">
        <v>50</v>
      </c>
    </row>
    <row r="798" spans="1:12">
      <c r="A798" t="s">
        <v>2048</v>
      </c>
      <c r="B798" t="s">
        <v>399</v>
      </c>
      <c r="C798" t="s">
        <v>364</v>
      </c>
      <c r="D798" t="s">
        <v>417</v>
      </c>
      <c r="E798" t="s">
        <v>2049</v>
      </c>
      <c r="G798">
        <v>252000</v>
      </c>
      <c r="H798">
        <v>0</v>
      </c>
      <c r="I798">
        <v>1.3</v>
      </c>
      <c r="J798">
        <v>61</v>
      </c>
      <c r="K798">
        <v>0</v>
      </c>
      <c r="L798" t="s">
        <v>50</v>
      </c>
    </row>
    <row r="799" spans="1:12">
      <c r="A799" t="s">
        <v>2050</v>
      </c>
      <c r="B799" t="s">
        <v>363</v>
      </c>
      <c r="C799" t="s">
        <v>364</v>
      </c>
      <c r="D799" t="s">
        <v>387</v>
      </c>
      <c r="E799" t="s">
        <v>2051</v>
      </c>
      <c r="G799">
        <v>77987</v>
      </c>
      <c r="H799">
        <v>0</v>
      </c>
      <c r="I799">
        <v>1.7</v>
      </c>
      <c r="J799">
        <v>54</v>
      </c>
      <c r="K799">
        <v>2</v>
      </c>
      <c r="L799" t="s">
        <v>50</v>
      </c>
    </row>
    <row r="800" spans="1:12">
      <c r="A800" t="s">
        <v>2052</v>
      </c>
      <c r="B800" t="s">
        <v>374</v>
      </c>
      <c r="C800" t="s">
        <v>364</v>
      </c>
      <c r="D800" t="s">
        <v>387</v>
      </c>
      <c r="E800" t="s">
        <v>2053</v>
      </c>
      <c r="G800">
        <v>57086</v>
      </c>
      <c r="H800">
        <v>0</v>
      </c>
      <c r="I800">
        <v>3.4</v>
      </c>
      <c r="J800">
        <v>77</v>
      </c>
      <c r="K800">
        <v>0</v>
      </c>
      <c r="L800" t="s">
        <v>50</v>
      </c>
    </row>
    <row r="801" spans="1:12">
      <c r="A801" t="s">
        <v>2054</v>
      </c>
      <c r="B801" t="s">
        <v>399</v>
      </c>
      <c r="C801" t="s">
        <v>4</v>
      </c>
      <c r="D801" t="s">
        <v>383</v>
      </c>
      <c r="E801" t="s">
        <v>1929</v>
      </c>
      <c r="G801">
        <v>110822</v>
      </c>
      <c r="H801">
        <v>2062352</v>
      </c>
      <c r="I801">
        <v>2.2000000000000002</v>
      </c>
      <c r="J801">
        <v>59</v>
      </c>
      <c r="K801">
        <v>3</v>
      </c>
      <c r="L801" t="s">
        <v>50</v>
      </c>
    </row>
    <row r="802" spans="1:12">
      <c r="A802" t="s">
        <v>2055</v>
      </c>
      <c r="B802" t="s">
        <v>368</v>
      </c>
      <c r="C802" t="s">
        <v>375</v>
      </c>
      <c r="D802" t="s">
        <v>437</v>
      </c>
      <c r="E802" t="s">
        <v>2056</v>
      </c>
      <c r="G802">
        <v>327642</v>
      </c>
      <c r="H802">
        <v>0</v>
      </c>
      <c r="I802">
        <v>1.4</v>
      </c>
      <c r="J802">
        <v>96</v>
      </c>
      <c r="K802">
        <v>1</v>
      </c>
      <c r="L802" t="s">
        <v>50</v>
      </c>
    </row>
    <row r="803" spans="1:12">
      <c r="A803" t="s">
        <v>2057</v>
      </c>
      <c r="B803" t="s">
        <v>374</v>
      </c>
      <c r="C803" t="s">
        <v>375</v>
      </c>
      <c r="D803" t="s">
        <v>437</v>
      </c>
      <c r="E803" t="s">
        <v>1281</v>
      </c>
      <c r="F803" t="s">
        <v>496</v>
      </c>
      <c r="G803">
        <v>359490</v>
      </c>
      <c r="H803">
        <v>0</v>
      </c>
      <c r="I803">
        <v>1.1000000000000001</v>
      </c>
      <c r="J803">
        <v>48</v>
      </c>
      <c r="K803">
        <v>0</v>
      </c>
      <c r="L803" t="s">
        <v>50</v>
      </c>
    </row>
    <row r="804" spans="1:12">
      <c r="A804" t="s">
        <v>2058</v>
      </c>
      <c r="B804" t="s">
        <v>399</v>
      </c>
      <c r="C804" t="s">
        <v>382</v>
      </c>
      <c r="D804" t="s">
        <v>387</v>
      </c>
      <c r="E804" t="s">
        <v>2059</v>
      </c>
      <c r="G804">
        <v>66320</v>
      </c>
      <c r="H804">
        <v>36271</v>
      </c>
      <c r="I804">
        <v>4.2</v>
      </c>
      <c r="J804">
        <v>97</v>
      </c>
      <c r="K804">
        <v>0</v>
      </c>
      <c r="L804" t="s">
        <v>50</v>
      </c>
    </row>
    <row r="805" spans="1:12">
      <c r="A805" t="s">
        <v>2060</v>
      </c>
      <c r="B805" t="s">
        <v>399</v>
      </c>
      <c r="C805" t="s">
        <v>364</v>
      </c>
      <c r="D805" t="s">
        <v>437</v>
      </c>
      <c r="E805" t="s">
        <v>2061</v>
      </c>
      <c r="G805">
        <v>432888</v>
      </c>
      <c r="H805">
        <v>11066</v>
      </c>
      <c r="I805">
        <v>3.6</v>
      </c>
      <c r="J805">
        <v>53</v>
      </c>
      <c r="K805">
        <v>1</v>
      </c>
      <c r="L805" t="s">
        <v>50</v>
      </c>
    </row>
    <row r="806" spans="1:12">
      <c r="A806" t="s">
        <v>2062</v>
      </c>
      <c r="B806" t="s">
        <v>399</v>
      </c>
      <c r="C806" t="s">
        <v>364</v>
      </c>
      <c r="D806" t="s">
        <v>378</v>
      </c>
      <c r="E806" t="s">
        <v>2063</v>
      </c>
      <c r="G806">
        <v>515900</v>
      </c>
      <c r="H806">
        <v>0</v>
      </c>
      <c r="I806">
        <v>4.5999999999999996</v>
      </c>
      <c r="J806">
        <v>99</v>
      </c>
      <c r="K806">
        <v>2</v>
      </c>
      <c r="L806" t="s">
        <v>50</v>
      </c>
    </row>
    <row r="807" spans="1:12">
      <c r="A807" t="s">
        <v>2064</v>
      </c>
      <c r="B807" t="s">
        <v>399</v>
      </c>
      <c r="C807" t="s">
        <v>4</v>
      </c>
      <c r="D807" t="s">
        <v>387</v>
      </c>
      <c r="E807" t="s">
        <v>2065</v>
      </c>
      <c r="G807">
        <v>79502</v>
      </c>
      <c r="H807">
        <v>286084</v>
      </c>
      <c r="I807">
        <v>1.6</v>
      </c>
      <c r="J807">
        <v>52</v>
      </c>
      <c r="K807">
        <v>1</v>
      </c>
      <c r="L807" t="s">
        <v>50</v>
      </c>
    </row>
    <row r="808" spans="1:12">
      <c r="A808" t="s">
        <v>2066</v>
      </c>
      <c r="B808" t="s">
        <v>374</v>
      </c>
      <c r="C808" t="s">
        <v>382</v>
      </c>
      <c r="D808" t="s">
        <v>365</v>
      </c>
      <c r="E808" t="s">
        <v>2067</v>
      </c>
      <c r="G808">
        <v>189084</v>
      </c>
      <c r="H808">
        <v>0</v>
      </c>
      <c r="I808">
        <v>3.1</v>
      </c>
      <c r="J808">
        <v>61</v>
      </c>
      <c r="K808">
        <v>2</v>
      </c>
      <c r="L808" t="s">
        <v>50</v>
      </c>
    </row>
    <row r="809" spans="1:12">
      <c r="A809" t="s">
        <v>2068</v>
      </c>
      <c r="B809" t="s">
        <v>363</v>
      </c>
      <c r="C809" t="s">
        <v>4</v>
      </c>
      <c r="D809" t="s">
        <v>387</v>
      </c>
      <c r="E809" t="s">
        <v>2069</v>
      </c>
      <c r="G809">
        <v>42467</v>
      </c>
      <c r="H809">
        <v>1016965</v>
      </c>
      <c r="I809">
        <v>4.5999999999999996</v>
      </c>
      <c r="J809">
        <v>65</v>
      </c>
      <c r="K809">
        <v>0</v>
      </c>
      <c r="L809" t="s">
        <v>50</v>
      </c>
    </row>
    <row r="810" spans="1:12">
      <c r="A810" t="s">
        <v>2070</v>
      </c>
      <c r="B810" t="s">
        <v>368</v>
      </c>
      <c r="C810" t="s">
        <v>382</v>
      </c>
      <c r="D810" t="s">
        <v>437</v>
      </c>
      <c r="E810" t="s">
        <v>2071</v>
      </c>
      <c r="G810">
        <v>269934</v>
      </c>
      <c r="H810">
        <v>0</v>
      </c>
      <c r="I810">
        <v>3.8</v>
      </c>
      <c r="J810">
        <v>66</v>
      </c>
      <c r="K810">
        <v>0</v>
      </c>
      <c r="L810" t="s">
        <v>93</v>
      </c>
    </row>
    <row r="811" spans="1:12">
      <c r="A811" t="s">
        <v>2072</v>
      </c>
      <c r="B811" t="s">
        <v>374</v>
      </c>
      <c r="C811" t="s">
        <v>4</v>
      </c>
      <c r="D811" t="s">
        <v>387</v>
      </c>
      <c r="E811" t="s">
        <v>1523</v>
      </c>
      <c r="G811">
        <v>60047</v>
      </c>
      <c r="H811">
        <v>2142366</v>
      </c>
      <c r="I811">
        <v>4.3</v>
      </c>
      <c r="J811">
        <v>59</v>
      </c>
      <c r="K811">
        <v>1</v>
      </c>
      <c r="L811" t="s">
        <v>50</v>
      </c>
    </row>
    <row r="812" spans="1:12">
      <c r="A812" t="s">
        <v>2073</v>
      </c>
      <c r="B812" t="s">
        <v>368</v>
      </c>
      <c r="C812" t="s">
        <v>4</v>
      </c>
      <c r="D812" t="s">
        <v>378</v>
      </c>
      <c r="E812" t="s">
        <v>2074</v>
      </c>
      <c r="G812">
        <v>378903</v>
      </c>
      <c r="H812">
        <v>1378391</v>
      </c>
      <c r="I812">
        <v>2.9</v>
      </c>
      <c r="J812">
        <v>44</v>
      </c>
      <c r="K812">
        <v>0</v>
      </c>
      <c r="L812" t="s">
        <v>50</v>
      </c>
    </row>
    <row r="813" spans="1:12">
      <c r="A813" t="s">
        <v>2075</v>
      </c>
      <c r="B813" t="s">
        <v>368</v>
      </c>
      <c r="C813" t="s">
        <v>364</v>
      </c>
      <c r="D813" t="s">
        <v>383</v>
      </c>
      <c r="E813" t="s">
        <v>2076</v>
      </c>
      <c r="G813">
        <v>116480</v>
      </c>
      <c r="H813">
        <v>0</v>
      </c>
      <c r="I813">
        <v>4.2</v>
      </c>
      <c r="J813">
        <v>58</v>
      </c>
      <c r="K813">
        <v>0</v>
      </c>
      <c r="L813" t="s">
        <v>50</v>
      </c>
    </row>
    <row r="814" spans="1:12">
      <c r="A814" t="s">
        <v>2077</v>
      </c>
      <c r="B814" t="s">
        <v>399</v>
      </c>
      <c r="C814" t="s">
        <v>382</v>
      </c>
      <c r="D814" t="s">
        <v>383</v>
      </c>
      <c r="E814" t="s">
        <v>2078</v>
      </c>
      <c r="G814">
        <v>88880</v>
      </c>
      <c r="H814">
        <v>0</v>
      </c>
      <c r="I814">
        <v>3.9</v>
      </c>
      <c r="J814">
        <v>76</v>
      </c>
      <c r="K814">
        <v>1</v>
      </c>
      <c r="L814" t="s">
        <v>50</v>
      </c>
    </row>
    <row r="815" spans="1:12">
      <c r="A815" t="s">
        <v>2079</v>
      </c>
      <c r="B815" t="s">
        <v>368</v>
      </c>
      <c r="C815" t="s">
        <v>382</v>
      </c>
      <c r="D815" t="s">
        <v>365</v>
      </c>
      <c r="E815" t="s">
        <v>1960</v>
      </c>
      <c r="F815" t="s">
        <v>2080</v>
      </c>
      <c r="G815">
        <v>318136</v>
      </c>
      <c r="H815">
        <v>0</v>
      </c>
      <c r="I815">
        <v>2</v>
      </c>
      <c r="J815">
        <v>76</v>
      </c>
      <c r="K815">
        <v>0</v>
      </c>
      <c r="L815" t="s">
        <v>50</v>
      </c>
    </row>
    <row r="816" spans="1:12">
      <c r="A816" t="s">
        <v>2081</v>
      </c>
      <c r="B816" t="s">
        <v>363</v>
      </c>
      <c r="C816" t="s">
        <v>382</v>
      </c>
      <c r="D816" t="s">
        <v>417</v>
      </c>
      <c r="E816" t="s">
        <v>2082</v>
      </c>
      <c r="G816">
        <v>385525</v>
      </c>
      <c r="H816">
        <v>19293</v>
      </c>
      <c r="I816">
        <v>3.5</v>
      </c>
      <c r="J816">
        <v>66</v>
      </c>
      <c r="K816">
        <v>0</v>
      </c>
      <c r="L816" t="s">
        <v>50</v>
      </c>
    </row>
    <row r="817" spans="1:12">
      <c r="A817" t="s">
        <v>2083</v>
      </c>
      <c r="B817" t="s">
        <v>399</v>
      </c>
      <c r="C817" t="s">
        <v>375</v>
      </c>
      <c r="D817" t="s">
        <v>365</v>
      </c>
      <c r="E817" t="s">
        <v>2084</v>
      </c>
      <c r="G817">
        <v>265244</v>
      </c>
      <c r="H817">
        <v>0</v>
      </c>
      <c r="I817">
        <v>1.1000000000000001</v>
      </c>
      <c r="J817">
        <v>91</v>
      </c>
      <c r="K817">
        <v>2</v>
      </c>
      <c r="L817" t="s">
        <v>93</v>
      </c>
    </row>
    <row r="818" spans="1:12">
      <c r="A818" t="s">
        <v>2085</v>
      </c>
      <c r="B818" t="s">
        <v>368</v>
      </c>
      <c r="C818" t="s">
        <v>364</v>
      </c>
      <c r="D818" t="s">
        <v>417</v>
      </c>
      <c r="E818" t="s">
        <v>2086</v>
      </c>
      <c r="G818">
        <v>221665</v>
      </c>
      <c r="H818">
        <v>0</v>
      </c>
      <c r="I818">
        <v>2</v>
      </c>
      <c r="J818">
        <v>46</v>
      </c>
      <c r="K818">
        <v>1</v>
      </c>
      <c r="L818" t="s">
        <v>50</v>
      </c>
    </row>
    <row r="819" spans="1:12">
      <c r="A819" t="s">
        <v>2087</v>
      </c>
      <c r="B819" t="s">
        <v>374</v>
      </c>
      <c r="C819" t="s">
        <v>382</v>
      </c>
      <c r="D819" t="s">
        <v>383</v>
      </c>
      <c r="E819" t="s">
        <v>2088</v>
      </c>
      <c r="G819">
        <v>89124</v>
      </c>
      <c r="H819">
        <v>36049</v>
      </c>
      <c r="I819">
        <v>3.8</v>
      </c>
      <c r="J819">
        <v>88</v>
      </c>
      <c r="K819">
        <v>1</v>
      </c>
      <c r="L819" t="s">
        <v>93</v>
      </c>
    </row>
    <row r="820" spans="1:12">
      <c r="A820" t="s">
        <v>2089</v>
      </c>
      <c r="B820" t="s">
        <v>374</v>
      </c>
      <c r="C820" t="s">
        <v>4</v>
      </c>
      <c r="D820" t="s">
        <v>369</v>
      </c>
      <c r="E820" t="s">
        <v>1924</v>
      </c>
      <c r="G820">
        <v>166197</v>
      </c>
      <c r="H820">
        <v>1063006</v>
      </c>
      <c r="I820">
        <v>4.8</v>
      </c>
      <c r="J820">
        <v>71</v>
      </c>
      <c r="K820">
        <v>1</v>
      </c>
      <c r="L820" t="s">
        <v>93</v>
      </c>
    </row>
    <row r="821" spans="1:12">
      <c r="A821" t="s">
        <v>2090</v>
      </c>
      <c r="B821" t="s">
        <v>363</v>
      </c>
      <c r="C821" t="s">
        <v>4</v>
      </c>
      <c r="D821" t="s">
        <v>365</v>
      </c>
      <c r="E821" t="s">
        <v>2091</v>
      </c>
      <c r="G821">
        <v>187272</v>
      </c>
      <c r="H821">
        <v>1214105</v>
      </c>
      <c r="I821">
        <v>2.8</v>
      </c>
      <c r="J821">
        <v>46</v>
      </c>
      <c r="K821">
        <v>1</v>
      </c>
      <c r="L821" t="s">
        <v>50</v>
      </c>
    </row>
    <row r="822" spans="1:12">
      <c r="A822" t="s">
        <v>2092</v>
      </c>
      <c r="B822" t="s">
        <v>399</v>
      </c>
      <c r="C822" t="s">
        <v>4</v>
      </c>
      <c r="D822" t="s">
        <v>387</v>
      </c>
      <c r="E822" t="s">
        <v>2093</v>
      </c>
      <c r="G822">
        <v>66656</v>
      </c>
      <c r="H822">
        <v>229432</v>
      </c>
      <c r="I822">
        <v>1.2</v>
      </c>
      <c r="J822">
        <v>61</v>
      </c>
      <c r="K822">
        <v>1</v>
      </c>
      <c r="L822" t="s">
        <v>50</v>
      </c>
    </row>
    <row r="823" spans="1:12">
      <c r="A823" t="s">
        <v>2094</v>
      </c>
      <c r="B823" t="s">
        <v>374</v>
      </c>
      <c r="C823" t="s">
        <v>4</v>
      </c>
      <c r="D823" t="s">
        <v>378</v>
      </c>
      <c r="E823" t="s">
        <v>2095</v>
      </c>
      <c r="G823">
        <v>468146</v>
      </c>
      <c r="H823">
        <v>1456278</v>
      </c>
      <c r="I823">
        <v>3</v>
      </c>
      <c r="J823">
        <v>95</v>
      </c>
      <c r="K823">
        <v>0</v>
      </c>
      <c r="L823" t="s">
        <v>50</v>
      </c>
    </row>
    <row r="824" spans="1:12">
      <c r="A824" t="s">
        <v>2096</v>
      </c>
      <c r="B824" t="s">
        <v>374</v>
      </c>
      <c r="C824" t="s">
        <v>382</v>
      </c>
      <c r="D824" t="s">
        <v>365</v>
      </c>
      <c r="E824" t="s">
        <v>2097</v>
      </c>
      <c r="G824">
        <v>188076</v>
      </c>
      <c r="H824">
        <v>0</v>
      </c>
      <c r="I824">
        <v>3.9</v>
      </c>
      <c r="J824">
        <v>65</v>
      </c>
      <c r="K824">
        <v>0</v>
      </c>
      <c r="L824" t="s">
        <v>50</v>
      </c>
    </row>
    <row r="825" spans="1:12">
      <c r="A825" t="s">
        <v>2098</v>
      </c>
      <c r="B825" t="s">
        <v>399</v>
      </c>
      <c r="C825" t="s">
        <v>375</v>
      </c>
      <c r="D825" t="s">
        <v>417</v>
      </c>
      <c r="E825" t="s">
        <v>2099</v>
      </c>
      <c r="G825">
        <v>369080</v>
      </c>
      <c r="H825">
        <v>29417</v>
      </c>
      <c r="I825">
        <v>4.4000000000000004</v>
      </c>
      <c r="J825">
        <v>42</v>
      </c>
      <c r="K825">
        <v>0</v>
      </c>
      <c r="L825" t="s">
        <v>50</v>
      </c>
    </row>
    <row r="826" spans="1:12">
      <c r="A826" t="s">
        <v>2100</v>
      </c>
      <c r="B826" t="s">
        <v>363</v>
      </c>
      <c r="C826" t="s">
        <v>4</v>
      </c>
      <c r="D826" t="s">
        <v>387</v>
      </c>
      <c r="E826" t="s">
        <v>2101</v>
      </c>
      <c r="G826">
        <v>47031</v>
      </c>
      <c r="H826">
        <v>591889</v>
      </c>
      <c r="I826">
        <v>1.6</v>
      </c>
      <c r="J826">
        <v>68</v>
      </c>
      <c r="K826">
        <v>0</v>
      </c>
      <c r="L826" t="s">
        <v>50</v>
      </c>
    </row>
    <row r="827" spans="1:12">
      <c r="A827" t="s">
        <v>2102</v>
      </c>
      <c r="B827" t="s">
        <v>374</v>
      </c>
      <c r="C827" t="s">
        <v>375</v>
      </c>
      <c r="D827" t="s">
        <v>365</v>
      </c>
      <c r="E827" t="s">
        <v>2103</v>
      </c>
      <c r="G827">
        <v>316888</v>
      </c>
      <c r="H827">
        <v>0</v>
      </c>
      <c r="I827">
        <v>3.4</v>
      </c>
      <c r="J827">
        <v>82</v>
      </c>
      <c r="K827">
        <v>1</v>
      </c>
      <c r="L827" t="s">
        <v>50</v>
      </c>
    </row>
    <row r="828" spans="1:12">
      <c r="A828" t="s">
        <v>2104</v>
      </c>
      <c r="B828" t="s">
        <v>374</v>
      </c>
      <c r="C828" t="s">
        <v>364</v>
      </c>
      <c r="D828" t="s">
        <v>387</v>
      </c>
      <c r="E828" t="s">
        <v>2105</v>
      </c>
      <c r="F828" t="s">
        <v>2106</v>
      </c>
      <c r="G828">
        <v>77817</v>
      </c>
      <c r="H828">
        <v>0</v>
      </c>
      <c r="I828">
        <v>2.8</v>
      </c>
      <c r="J828">
        <v>48</v>
      </c>
      <c r="K828">
        <v>1</v>
      </c>
      <c r="L828" t="s">
        <v>50</v>
      </c>
    </row>
    <row r="829" spans="1:12">
      <c r="A829" t="s">
        <v>2107</v>
      </c>
      <c r="B829" t="s">
        <v>374</v>
      </c>
      <c r="C829" t="s">
        <v>364</v>
      </c>
      <c r="D829" t="s">
        <v>378</v>
      </c>
      <c r="E829" t="s">
        <v>2108</v>
      </c>
      <c r="G829">
        <v>478758</v>
      </c>
      <c r="H829">
        <v>0</v>
      </c>
      <c r="I829">
        <v>1.9</v>
      </c>
      <c r="J829">
        <v>93</v>
      </c>
      <c r="K829">
        <v>1</v>
      </c>
      <c r="L829" t="s">
        <v>50</v>
      </c>
    </row>
    <row r="830" spans="1:12">
      <c r="A830" t="s">
        <v>2109</v>
      </c>
      <c r="B830" t="s">
        <v>368</v>
      </c>
      <c r="C830" t="s">
        <v>375</v>
      </c>
      <c r="D830" t="s">
        <v>369</v>
      </c>
      <c r="E830" t="s">
        <v>2110</v>
      </c>
      <c r="G830">
        <v>169863</v>
      </c>
      <c r="H830">
        <v>0</v>
      </c>
      <c r="I830">
        <v>4.4000000000000004</v>
      </c>
      <c r="J830">
        <v>59</v>
      </c>
      <c r="K830">
        <v>1</v>
      </c>
      <c r="L830" t="s">
        <v>50</v>
      </c>
    </row>
    <row r="831" spans="1:12">
      <c r="A831" t="s">
        <v>2111</v>
      </c>
      <c r="B831" t="s">
        <v>399</v>
      </c>
      <c r="C831" t="s">
        <v>364</v>
      </c>
      <c r="D831" t="s">
        <v>437</v>
      </c>
      <c r="E831" t="s">
        <v>2112</v>
      </c>
      <c r="G831">
        <v>256998</v>
      </c>
      <c r="H831">
        <v>0</v>
      </c>
      <c r="I831">
        <v>2.1</v>
      </c>
      <c r="J831">
        <v>58</v>
      </c>
      <c r="K831">
        <v>1</v>
      </c>
      <c r="L831" t="s">
        <v>50</v>
      </c>
    </row>
    <row r="832" spans="1:12">
      <c r="A832" t="s">
        <v>2113</v>
      </c>
      <c r="B832" t="s">
        <v>368</v>
      </c>
      <c r="C832" t="s">
        <v>364</v>
      </c>
      <c r="D832" t="s">
        <v>417</v>
      </c>
      <c r="E832" t="s">
        <v>2114</v>
      </c>
      <c r="G832">
        <v>350450</v>
      </c>
      <c r="H832">
        <v>0</v>
      </c>
      <c r="I832">
        <v>2.2000000000000002</v>
      </c>
      <c r="J832">
        <v>59</v>
      </c>
      <c r="K832">
        <v>3</v>
      </c>
      <c r="L832" t="s">
        <v>50</v>
      </c>
    </row>
    <row r="833" spans="1:12">
      <c r="A833" t="s">
        <v>2115</v>
      </c>
      <c r="B833" t="s">
        <v>399</v>
      </c>
      <c r="C833" t="s">
        <v>4</v>
      </c>
      <c r="D833" t="s">
        <v>365</v>
      </c>
      <c r="E833" t="s">
        <v>2116</v>
      </c>
      <c r="G833">
        <v>210612</v>
      </c>
      <c r="H833">
        <v>1088463</v>
      </c>
      <c r="I833">
        <v>4.8</v>
      </c>
      <c r="J833">
        <v>47</v>
      </c>
      <c r="K833">
        <v>2</v>
      </c>
      <c r="L833" t="s">
        <v>50</v>
      </c>
    </row>
    <row r="834" spans="1:12">
      <c r="A834" t="s">
        <v>2117</v>
      </c>
      <c r="B834" t="s">
        <v>399</v>
      </c>
      <c r="C834" t="s">
        <v>4</v>
      </c>
      <c r="D834" t="s">
        <v>383</v>
      </c>
      <c r="E834" t="s">
        <v>2118</v>
      </c>
      <c r="G834">
        <v>154932</v>
      </c>
      <c r="H834">
        <v>1581990</v>
      </c>
      <c r="I834">
        <v>1.5</v>
      </c>
      <c r="J834">
        <v>60</v>
      </c>
      <c r="K834">
        <v>3</v>
      </c>
      <c r="L834" t="s">
        <v>50</v>
      </c>
    </row>
    <row r="835" spans="1:12">
      <c r="A835" t="s">
        <v>2119</v>
      </c>
      <c r="B835" t="s">
        <v>399</v>
      </c>
      <c r="C835" t="s">
        <v>382</v>
      </c>
      <c r="D835" t="s">
        <v>378</v>
      </c>
      <c r="E835" t="s">
        <v>496</v>
      </c>
      <c r="G835">
        <v>427889</v>
      </c>
      <c r="H835">
        <v>0</v>
      </c>
      <c r="I835">
        <v>4.2</v>
      </c>
      <c r="J835">
        <v>55</v>
      </c>
      <c r="K835">
        <v>3</v>
      </c>
      <c r="L835" t="s">
        <v>50</v>
      </c>
    </row>
    <row r="836" spans="1:12">
      <c r="A836" t="s">
        <v>2120</v>
      </c>
      <c r="B836" t="s">
        <v>374</v>
      </c>
      <c r="C836" t="s">
        <v>4</v>
      </c>
      <c r="D836" t="s">
        <v>365</v>
      </c>
      <c r="E836" t="s">
        <v>2121</v>
      </c>
      <c r="G836">
        <v>233712</v>
      </c>
      <c r="H836">
        <v>716981</v>
      </c>
      <c r="I836">
        <v>4.9000000000000004</v>
      </c>
      <c r="J836">
        <v>57</v>
      </c>
      <c r="K836">
        <v>0</v>
      </c>
      <c r="L836" t="s">
        <v>50</v>
      </c>
    </row>
    <row r="837" spans="1:12">
      <c r="A837" t="s">
        <v>2122</v>
      </c>
      <c r="B837" t="s">
        <v>363</v>
      </c>
      <c r="C837" t="s">
        <v>375</v>
      </c>
      <c r="D837" t="s">
        <v>369</v>
      </c>
      <c r="E837" t="s">
        <v>1817</v>
      </c>
      <c r="F837" t="s">
        <v>2123</v>
      </c>
      <c r="G837">
        <v>141663</v>
      </c>
      <c r="H837">
        <v>0</v>
      </c>
      <c r="I837">
        <v>3</v>
      </c>
      <c r="J837">
        <v>61</v>
      </c>
      <c r="K837">
        <v>0</v>
      </c>
      <c r="L837" t="s">
        <v>50</v>
      </c>
    </row>
    <row r="838" spans="1:12">
      <c r="A838" t="s">
        <v>2124</v>
      </c>
      <c r="B838" t="s">
        <v>399</v>
      </c>
      <c r="C838" t="s">
        <v>382</v>
      </c>
      <c r="D838" t="s">
        <v>365</v>
      </c>
      <c r="E838" t="s">
        <v>2125</v>
      </c>
      <c r="G838">
        <v>222972</v>
      </c>
      <c r="H838">
        <v>0</v>
      </c>
      <c r="I838">
        <v>3.5</v>
      </c>
      <c r="J838">
        <v>42</v>
      </c>
      <c r="K838">
        <v>0</v>
      </c>
      <c r="L838" t="s">
        <v>50</v>
      </c>
    </row>
    <row r="839" spans="1:12">
      <c r="A839" t="s">
        <v>2126</v>
      </c>
      <c r="B839" t="s">
        <v>399</v>
      </c>
      <c r="C839" t="s">
        <v>364</v>
      </c>
      <c r="D839" t="s">
        <v>383</v>
      </c>
      <c r="E839" t="s">
        <v>2127</v>
      </c>
      <c r="F839" t="s">
        <v>2128</v>
      </c>
      <c r="G839">
        <v>121276</v>
      </c>
      <c r="H839">
        <v>0</v>
      </c>
      <c r="I839">
        <v>4.5999999999999996</v>
      </c>
      <c r="J839">
        <v>84</v>
      </c>
      <c r="K839">
        <v>0</v>
      </c>
      <c r="L839" t="s">
        <v>50</v>
      </c>
    </row>
    <row r="840" spans="1:12">
      <c r="A840" t="s">
        <v>2129</v>
      </c>
      <c r="B840" t="s">
        <v>368</v>
      </c>
      <c r="C840" t="s">
        <v>364</v>
      </c>
      <c r="D840" t="s">
        <v>365</v>
      </c>
      <c r="E840" t="s">
        <v>2130</v>
      </c>
      <c r="G840">
        <v>312216</v>
      </c>
      <c r="H840">
        <v>0</v>
      </c>
      <c r="I840">
        <v>2.2999999999999998</v>
      </c>
      <c r="J840">
        <v>95</v>
      </c>
      <c r="K840">
        <v>2</v>
      </c>
      <c r="L840" t="s">
        <v>50</v>
      </c>
    </row>
    <row r="841" spans="1:12">
      <c r="A841" t="s">
        <v>2131</v>
      </c>
      <c r="B841" t="s">
        <v>368</v>
      </c>
      <c r="C841" t="s">
        <v>4</v>
      </c>
      <c r="D841" t="s">
        <v>378</v>
      </c>
      <c r="E841" t="s">
        <v>2132</v>
      </c>
      <c r="G841">
        <v>334803</v>
      </c>
      <c r="H841">
        <v>216263</v>
      </c>
      <c r="I841">
        <v>3.5</v>
      </c>
      <c r="J841">
        <v>79</v>
      </c>
      <c r="K841">
        <v>0</v>
      </c>
      <c r="L841" t="s">
        <v>50</v>
      </c>
    </row>
    <row r="842" spans="1:12">
      <c r="A842" t="s">
        <v>2133</v>
      </c>
      <c r="B842" t="s">
        <v>374</v>
      </c>
      <c r="C842" t="s">
        <v>4</v>
      </c>
      <c r="D842" t="s">
        <v>369</v>
      </c>
      <c r="E842" t="s">
        <v>2134</v>
      </c>
      <c r="F842" t="s">
        <v>2135</v>
      </c>
      <c r="G842">
        <v>172944</v>
      </c>
      <c r="H842">
        <v>178289</v>
      </c>
      <c r="I842">
        <v>3.9</v>
      </c>
      <c r="J842">
        <v>95</v>
      </c>
      <c r="K842">
        <v>0</v>
      </c>
      <c r="L842" t="s">
        <v>50</v>
      </c>
    </row>
    <row r="843" spans="1:12">
      <c r="A843" t="s">
        <v>2136</v>
      </c>
      <c r="B843" t="s">
        <v>368</v>
      </c>
      <c r="C843" t="s">
        <v>375</v>
      </c>
      <c r="D843" t="s">
        <v>417</v>
      </c>
      <c r="E843" t="s">
        <v>2137</v>
      </c>
      <c r="G843">
        <v>320195</v>
      </c>
      <c r="H843">
        <v>0</v>
      </c>
      <c r="I843">
        <v>4.0999999999999996</v>
      </c>
      <c r="J843">
        <v>78</v>
      </c>
      <c r="K843">
        <v>1</v>
      </c>
      <c r="L843" t="s">
        <v>50</v>
      </c>
    </row>
    <row r="844" spans="1:12">
      <c r="A844" t="s">
        <v>2138</v>
      </c>
      <c r="B844" t="s">
        <v>368</v>
      </c>
      <c r="C844" t="s">
        <v>4</v>
      </c>
      <c r="D844" t="s">
        <v>417</v>
      </c>
      <c r="E844" t="s">
        <v>2139</v>
      </c>
      <c r="G844">
        <v>220150</v>
      </c>
      <c r="H844">
        <v>1217881</v>
      </c>
      <c r="I844">
        <v>2.9</v>
      </c>
      <c r="J844">
        <v>93</v>
      </c>
      <c r="K844">
        <v>0</v>
      </c>
      <c r="L844" t="s">
        <v>50</v>
      </c>
    </row>
    <row r="845" spans="1:12">
      <c r="A845" t="s">
        <v>2140</v>
      </c>
      <c r="B845" t="s">
        <v>368</v>
      </c>
      <c r="C845" t="s">
        <v>4</v>
      </c>
      <c r="D845" t="s">
        <v>378</v>
      </c>
      <c r="E845" t="s">
        <v>2141</v>
      </c>
      <c r="G845">
        <v>386309</v>
      </c>
      <c r="H845">
        <v>1525989</v>
      </c>
      <c r="I845">
        <v>3.5</v>
      </c>
      <c r="J845">
        <v>63</v>
      </c>
      <c r="K845">
        <v>0</v>
      </c>
      <c r="L845" t="s">
        <v>50</v>
      </c>
    </row>
    <row r="846" spans="1:12">
      <c r="A846" t="s">
        <v>2142</v>
      </c>
      <c r="B846" t="s">
        <v>363</v>
      </c>
      <c r="C846" t="s">
        <v>364</v>
      </c>
      <c r="D846" t="s">
        <v>378</v>
      </c>
      <c r="E846" t="s">
        <v>2143</v>
      </c>
      <c r="G846">
        <v>533904</v>
      </c>
      <c r="H846">
        <v>0</v>
      </c>
      <c r="I846">
        <v>3.6</v>
      </c>
      <c r="J846">
        <v>56</v>
      </c>
      <c r="K846">
        <v>0</v>
      </c>
      <c r="L846" t="s">
        <v>50</v>
      </c>
    </row>
    <row r="847" spans="1:12">
      <c r="A847" t="s">
        <v>2144</v>
      </c>
      <c r="B847" t="s">
        <v>368</v>
      </c>
      <c r="C847" t="s">
        <v>382</v>
      </c>
      <c r="D847" t="s">
        <v>437</v>
      </c>
      <c r="E847" t="s">
        <v>2145</v>
      </c>
      <c r="G847">
        <v>430836</v>
      </c>
      <c r="H847">
        <v>0</v>
      </c>
      <c r="I847">
        <v>1.7</v>
      </c>
      <c r="J847">
        <v>98</v>
      </c>
      <c r="K847">
        <v>1</v>
      </c>
      <c r="L847" t="s">
        <v>50</v>
      </c>
    </row>
    <row r="848" spans="1:12">
      <c r="A848" t="s">
        <v>2146</v>
      </c>
      <c r="B848" t="s">
        <v>374</v>
      </c>
      <c r="C848" t="s">
        <v>375</v>
      </c>
      <c r="D848" t="s">
        <v>378</v>
      </c>
      <c r="E848" t="s">
        <v>2147</v>
      </c>
      <c r="F848" t="s">
        <v>2148</v>
      </c>
      <c r="G848">
        <v>344260</v>
      </c>
      <c r="H848">
        <v>0</v>
      </c>
      <c r="I848">
        <v>1.6</v>
      </c>
      <c r="J848">
        <v>42</v>
      </c>
      <c r="K848">
        <v>0</v>
      </c>
      <c r="L848" t="s">
        <v>50</v>
      </c>
    </row>
    <row r="849" spans="1:12">
      <c r="A849" t="s">
        <v>2149</v>
      </c>
      <c r="B849" t="s">
        <v>368</v>
      </c>
      <c r="C849" t="s">
        <v>364</v>
      </c>
      <c r="D849" t="s">
        <v>378</v>
      </c>
      <c r="E849" t="s">
        <v>2150</v>
      </c>
      <c r="G849">
        <v>313565</v>
      </c>
      <c r="H849">
        <v>0</v>
      </c>
      <c r="I849">
        <v>4.5999999999999996</v>
      </c>
      <c r="J849">
        <v>52</v>
      </c>
      <c r="K849">
        <v>0</v>
      </c>
      <c r="L849" t="s">
        <v>50</v>
      </c>
    </row>
    <row r="850" spans="1:12">
      <c r="A850" t="s">
        <v>2151</v>
      </c>
      <c r="B850" t="s">
        <v>374</v>
      </c>
      <c r="C850" t="s">
        <v>364</v>
      </c>
      <c r="D850" t="s">
        <v>437</v>
      </c>
      <c r="E850" t="s">
        <v>2152</v>
      </c>
      <c r="G850">
        <v>468348</v>
      </c>
      <c r="H850">
        <v>25856</v>
      </c>
      <c r="I850">
        <v>1.7</v>
      </c>
      <c r="J850">
        <v>46</v>
      </c>
      <c r="K850">
        <v>3</v>
      </c>
      <c r="L850" t="s">
        <v>93</v>
      </c>
    </row>
    <row r="851" spans="1:12">
      <c r="A851" t="s">
        <v>2153</v>
      </c>
      <c r="B851" t="s">
        <v>374</v>
      </c>
      <c r="C851" t="s">
        <v>375</v>
      </c>
      <c r="D851" t="s">
        <v>417</v>
      </c>
      <c r="E851" t="s">
        <v>2154</v>
      </c>
      <c r="G851">
        <v>292915</v>
      </c>
      <c r="H851">
        <v>0</v>
      </c>
      <c r="I851">
        <v>2.2000000000000002</v>
      </c>
      <c r="J851">
        <v>78</v>
      </c>
      <c r="K851">
        <v>1</v>
      </c>
      <c r="L851" t="s">
        <v>50</v>
      </c>
    </row>
    <row r="852" spans="1:12">
      <c r="A852" t="s">
        <v>2155</v>
      </c>
      <c r="B852" t="s">
        <v>368</v>
      </c>
      <c r="C852" t="s">
        <v>375</v>
      </c>
      <c r="D852" t="s">
        <v>383</v>
      </c>
      <c r="E852" t="s">
        <v>2156</v>
      </c>
      <c r="G852">
        <v>143834</v>
      </c>
      <c r="H852">
        <v>29423</v>
      </c>
      <c r="I852">
        <v>3</v>
      </c>
      <c r="J852">
        <v>58</v>
      </c>
      <c r="K852">
        <v>0</v>
      </c>
      <c r="L852" t="s">
        <v>50</v>
      </c>
    </row>
    <row r="853" spans="1:12">
      <c r="A853" t="s">
        <v>2157</v>
      </c>
      <c r="B853" t="s">
        <v>368</v>
      </c>
      <c r="C853" t="s">
        <v>382</v>
      </c>
      <c r="D853" t="s">
        <v>417</v>
      </c>
      <c r="E853" t="s">
        <v>2158</v>
      </c>
      <c r="G853">
        <v>354980</v>
      </c>
      <c r="H853">
        <v>0</v>
      </c>
      <c r="I853">
        <v>2.2000000000000002</v>
      </c>
      <c r="J853">
        <v>85</v>
      </c>
      <c r="K853">
        <v>0</v>
      </c>
      <c r="L853" t="s">
        <v>50</v>
      </c>
    </row>
    <row r="854" spans="1:12">
      <c r="A854" t="s">
        <v>2159</v>
      </c>
      <c r="B854" t="s">
        <v>368</v>
      </c>
      <c r="C854" t="s">
        <v>364</v>
      </c>
      <c r="D854" t="s">
        <v>369</v>
      </c>
      <c r="E854" t="s">
        <v>2160</v>
      </c>
      <c r="G854">
        <v>201867</v>
      </c>
      <c r="H854">
        <v>0</v>
      </c>
      <c r="I854">
        <v>2.5</v>
      </c>
      <c r="J854">
        <v>92</v>
      </c>
      <c r="K854">
        <v>1</v>
      </c>
      <c r="L854" t="s">
        <v>50</v>
      </c>
    </row>
    <row r="855" spans="1:12">
      <c r="A855" t="s">
        <v>2161</v>
      </c>
      <c r="B855" t="s">
        <v>363</v>
      </c>
      <c r="C855" t="s">
        <v>382</v>
      </c>
      <c r="D855" t="s">
        <v>387</v>
      </c>
      <c r="E855" t="s">
        <v>2162</v>
      </c>
      <c r="G855">
        <v>66307</v>
      </c>
      <c r="H855">
        <v>0</v>
      </c>
      <c r="I855">
        <v>1.6</v>
      </c>
      <c r="J855">
        <v>45</v>
      </c>
      <c r="K855">
        <v>0</v>
      </c>
      <c r="L855" t="s">
        <v>50</v>
      </c>
    </row>
    <row r="856" spans="1:12">
      <c r="A856" t="s">
        <v>2163</v>
      </c>
      <c r="B856" t="s">
        <v>363</v>
      </c>
      <c r="C856" t="s">
        <v>375</v>
      </c>
      <c r="D856" t="s">
        <v>417</v>
      </c>
      <c r="E856" t="s">
        <v>1810</v>
      </c>
      <c r="G856">
        <v>208295</v>
      </c>
      <c r="H856">
        <v>0</v>
      </c>
      <c r="I856">
        <v>2.4</v>
      </c>
      <c r="J856">
        <v>44</v>
      </c>
      <c r="K856">
        <v>1</v>
      </c>
      <c r="L856" t="s">
        <v>50</v>
      </c>
    </row>
    <row r="857" spans="1:12">
      <c r="A857" t="s">
        <v>2164</v>
      </c>
      <c r="B857" t="s">
        <v>368</v>
      </c>
      <c r="C857" t="s">
        <v>375</v>
      </c>
      <c r="D857" t="s">
        <v>383</v>
      </c>
      <c r="E857" t="s">
        <v>2165</v>
      </c>
      <c r="G857">
        <v>91658</v>
      </c>
      <c r="H857">
        <v>48882</v>
      </c>
      <c r="I857">
        <v>2.5</v>
      </c>
      <c r="J857">
        <v>66</v>
      </c>
      <c r="K857">
        <v>0</v>
      </c>
      <c r="L857" t="s">
        <v>50</v>
      </c>
    </row>
    <row r="858" spans="1:12">
      <c r="A858" t="s">
        <v>2166</v>
      </c>
      <c r="B858" t="s">
        <v>374</v>
      </c>
      <c r="C858" t="s">
        <v>375</v>
      </c>
      <c r="D858" t="s">
        <v>383</v>
      </c>
      <c r="E858" t="s">
        <v>614</v>
      </c>
      <c r="G858">
        <v>113754</v>
      </c>
      <c r="H858">
        <v>0</v>
      </c>
      <c r="I858">
        <v>1.9</v>
      </c>
      <c r="J858">
        <v>59</v>
      </c>
      <c r="K858">
        <v>0</v>
      </c>
      <c r="L858" t="s">
        <v>50</v>
      </c>
    </row>
    <row r="859" spans="1:12">
      <c r="A859" t="s">
        <v>2167</v>
      </c>
      <c r="B859" t="s">
        <v>363</v>
      </c>
      <c r="C859" t="s">
        <v>364</v>
      </c>
      <c r="D859" t="s">
        <v>369</v>
      </c>
      <c r="E859" t="s">
        <v>2168</v>
      </c>
      <c r="G859">
        <v>128019</v>
      </c>
      <c r="H859">
        <v>0</v>
      </c>
      <c r="I859">
        <v>3.1</v>
      </c>
      <c r="J859">
        <v>90</v>
      </c>
      <c r="K859">
        <v>0</v>
      </c>
      <c r="L859" t="s">
        <v>50</v>
      </c>
    </row>
    <row r="860" spans="1:12">
      <c r="A860" t="s">
        <v>2169</v>
      </c>
      <c r="B860" t="s">
        <v>363</v>
      </c>
      <c r="C860" t="s">
        <v>382</v>
      </c>
      <c r="D860" t="s">
        <v>417</v>
      </c>
      <c r="E860" t="s">
        <v>541</v>
      </c>
      <c r="F860" t="s">
        <v>2170</v>
      </c>
      <c r="G860">
        <v>289630</v>
      </c>
      <c r="H860">
        <v>31800</v>
      </c>
      <c r="I860">
        <v>1.1000000000000001</v>
      </c>
      <c r="J860">
        <v>91</v>
      </c>
      <c r="K860">
        <v>2</v>
      </c>
      <c r="L860" t="s">
        <v>50</v>
      </c>
    </row>
    <row r="861" spans="1:12">
      <c r="A861" t="s">
        <v>2171</v>
      </c>
      <c r="B861" t="s">
        <v>399</v>
      </c>
      <c r="C861" t="s">
        <v>364</v>
      </c>
      <c r="D861" t="s">
        <v>437</v>
      </c>
      <c r="E861" t="s">
        <v>671</v>
      </c>
      <c r="F861" t="s">
        <v>2172</v>
      </c>
      <c r="G861">
        <v>316152</v>
      </c>
      <c r="H861">
        <v>0</v>
      </c>
      <c r="I861">
        <v>4.7</v>
      </c>
      <c r="J861">
        <v>93</v>
      </c>
      <c r="K861">
        <v>2</v>
      </c>
      <c r="L861" t="s">
        <v>50</v>
      </c>
    </row>
    <row r="862" spans="1:12">
      <c r="A862" t="s">
        <v>2173</v>
      </c>
      <c r="B862" t="s">
        <v>363</v>
      </c>
      <c r="C862" t="s">
        <v>382</v>
      </c>
      <c r="D862" t="s">
        <v>383</v>
      </c>
      <c r="E862" t="s">
        <v>2174</v>
      </c>
      <c r="G862">
        <v>85394</v>
      </c>
      <c r="H862">
        <v>0</v>
      </c>
      <c r="I862">
        <v>4.4000000000000004</v>
      </c>
      <c r="J862">
        <v>76</v>
      </c>
      <c r="K862">
        <v>1</v>
      </c>
      <c r="L862" t="s">
        <v>50</v>
      </c>
    </row>
    <row r="863" spans="1:12">
      <c r="A863" t="s">
        <v>2175</v>
      </c>
      <c r="B863" t="s">
        <v>363</v>
      </c>
      <c r="C863" t="s">
        <v>375</v>
      </c>
      <c r="D863" t="s">
        <v>387</v>
      </c>
      <c r="E863" t="s">
        <v>2176</v>
      </c>
      <c r="G863">
        <v>75763</v>
      </c>
      <c r="H863">
        <v>41063</v>
      </c>
      <c r="I863">
        <v>1.4</v>
      </c>
      <c r="J863">
        <v>90</v>
      </c>
      <c r="K863">
        <v>0</v>
      </c>
      <c r="L863" t="s">
        <v>50</v>
      </c>
    </row>
    <row r="864" spans="1:12">
      <c r="A864" t="s">
        <v>2177</v>
      </c>
      <c r="B864" t="s">
        <v>363</v>
      </c>
      <c r="C864" t="s">
        <v>4</v>
      </c>
      <c r="D864" t="s">
        <v>383</v>
      </c>
      <c r="E864" t="s">
        <v>1154</v>
      </c>
      <c r="G864">
        <v>110056</v>
      </c>
      <c r="H864">
        <v>1610885</v>
      </c>
      <c r="I864">
        <v>4</v>
      </c>
      <c r="J864">
        <v>66</v>
      </c>
      <c r="K864">
        <v>0</v>
      </c>
      <c r="L864" t="s">
        <v>50</v>
      </c>
    </row>
    <row r="865" spans="1:12">
      <c r="A865" t="s">
        <v>2178</v>
      </c>
      <c r="B865" t="s">
        <v>399</v>
      </c>
      <c r="C865" t="s">
        <v>382</v>
      </c>
      <c r="D865" t="s">
        <v>369</v>
      </c>
      <c r="E865" t="s">
        <v>2179</v>
      </c>
      <c r="G865">
        <v>205677</v>
      </c>
      <c r="H865">
        <v>0</v>
      </c>
      <c r="I865">
        <v>2</v>
      </c>
      <c r="J865">
        <v>76</v>
      </c>
      <c r="K865">
        <v>3</v>
      </c>
      <c r="L865" t="s">
        <v>50</v>
      </c>
    </row>
    <row r="866" spans="1:12">
      <c r="A866" t="s">
        <v>2180</v>
      </c>
      <c r="B866" t="s">
        <v>399</v>
      </c>
      <c r="C866" t="s">
        <v>364</v>
      </c>
      <c r="D866" t="s">
        <v>437</v>
      </c>
      <c r="E866" t="s">
        <v>2105</v>
      </c>
      <c r="G866">
        <v>363360</v>
      </c>
      <c r="H866">
        <v>21599</v>
      </c>
      <c r="I866">
        <v>1.3</v>
      </c>
      <c r="J866">
        <v>98</v>
      </c>
      <c r="K866">
        <v>0</v>
      </c>
      <c r="L866" t="s">
        <v>50</v>
      </c>
    </row>
    <row r="867" spans="1:12">
      <c r="A867" t="s">
        <v>2181</v>
      </c>
      <c r="B867" t="s">
        <v>368</v>
      </c>
      <c r="C867" t="s">
        <v>375</v>
      </c>
      <c r="D867" t="s">
        <v>365</v>
      </c>
      <c r="E867" t="s">
        <v>2182</v>
      </c>
      <c r="G867">
        <v>277452</v>
      </c>
      <c r="H867">
        <v>0</v>
      </c>
      <c r="I867">
        <v>4.3</v>
      </c>
      <c r="J867">
        <v>54</v>
      </c>
      <c r="K867">
        <v>0</v>
      </c>
      <c r="L867" t="s">
        <v>50</v>
      </c>
    </row>
    <row r="868" spans="1:12">
      <c r="A868" t="s">
        <v>2183</v>
      </c>
      <c r="B868" t="s">
        <v>374</v>
      </c>
      <c r="C868" t="s">
        <v>382</v>
      </c>
      <c r="D868" t="s">
        <v>369</v>
      </c>
      <c r="E868" t="s">
        <v>2184</v>
      </c>
      <c r="G868">
        <v>239061</v>
      </c>
      <c r="H868">
        <v>14667</v>
      </c>
      <c r="I868">
        <v>5</v>
      </c>
      <c r="J868">
        <v>98</v>
      </c>
      <c r="K868">
        <v>0</v>
      </c>
      <c r="L868" t="s">
        <v>50</v>
      </c>
    </row>
    <row r="869" spans="1:12">
      <c r="A869" t="s">
        <v>2185</v>
      </c>
      <c r="B869" t="s">
        <v>368</v>
      </c>
      <c r="C869" t="s">
        <v>4</v>
      </c>
      <c r="D869" t="s">
        <v>383</v>
      </c>
      <c r="E869" t="s">
        <v>1040</v>
      </c>
      <c r="G869">
        <v>145548</v>
      </c>
      <c r="H869">
        <v>1947482</v>
      </c>
      <c r="I869">
        <v>1.9</v>
      </c>
      <c r="J869">
        <v>94</v>
      </c>
      <c r="K869">
        <v>1</v>
      </c>
      <c r="L869" t="s">
        <v>50</v>
      </c>
    </row>
    <row r="870" spans="1:12">
      <c r="A870" t="s">
        <v>2186</v>
      </c>
      <c r="B870" t="s">
        <v>374</v>
      </c>
      <c r="C870" t="s">
        <v>375</v>
      </c>
      <c r="D870" t="s">
        <v>437</v>
      </c>
      <c r="E870" t="s">
        <v>2187</v>
      </c>
      <c r="G870">
        <v>306930</v>
      </c>
      <c r="H870">
        <v>0</v>
      </c>
      <c r="I870">
        <v>3.4</v>
      </c>
      <c r="J870">
        <v>80</v>
      </c>
      <c r="K870">
        <v>3</v>
      </c>
      <c r="L870" t="s">
        <v>50</v>
      </c>
    </row>
    <row r="871" spans="1:12">
      <c r="A871" t="s">
        <v>2188</v>
      </c>
      <c r="B871" t="s">
        <v>399</v>
      </c>
      <c r="C871" t="s">
        <v>364</v>
      </c>
      <c r="D871" t="s">
        <v>387</v>
      </c>
      <c r="E871" t="s">
        <v>2189</v>
      </c>
      <c r="F871" t="s">
        <v>2190</v>
      </c>
      <c r="G871">
        <v>55962</v>
      </c>
      <c r="H871">
        <v>34705</v>
      </c>
      <c r="I871">
        <v>1.5</v>
      </c>
      <c r="J871">
        <v>77</v>
      </c>
      <c r="K871">
        <v>1</v>
      </c>
      <c r="L871" t="s">
        <v>50</v>
      </c>
    </row>
    <row r="872" spans="1:12">
      <c r="A872" t="s">
        <v>2191</v>
      </c>
      <c r="B872" t="s">
        <v>368</v>
      </c>
      <c r="C872" t="s">
        <v>375</v>
      </c>
      <c r="D872" t="s">
        <v>437</v>
      </c>
      <c r="E872" t="s">
        <v>2192</v>
      </c>
      <c r="G872">
        <v>286266</v>
      </c>
      <c r="H872">
        <v>14608</v>
      </c>
      <c r="I872">
        <v>3.9</v>
      </c>
      <c r="J872">
        <v>40</v>
      </c>
      <c r="K872">
        <v>0</v>
      </c>
      <c r="L872" t="s">
        <v>93</v>
      </c>
    </row>
    <row r="873" spans="1:12">
      <c r="A873" t="s">
        <v>2193</v>
      </c>
      <c r="B873" t="s">
        <v>399</v>
      </c>
      <c r="C873" t="s">
        <v>4</v>
      </c>
      <c r="D873" t="s">
        <v>387</v>
      </c>
      <c r="E873" t="s">
        <v>2194</v>
      </c>
      <c r="F873" t="s">
        <v>2195</v>
      </c>
      <c r="G873">
        <v>61482</v>
      </c>
      <c r="H873">
        <v>1189176</v>
      </c>
      <c r="I873">
        <v>2.6</v>
      </c>
      <c r="J873">
        <v>65</v>
      </c>
      <c r="K873">
        <v>1</v>
      </c>
      <c r="L873" t="s">
        <v>50</v>
      </c>
    </row>
    <row r="874" spans="1:12">
      <c r="A874" t="s">
        <v>2196</v>
      </c>
      <c r="B874" t="s">
        <v>368</v>
      </c>
      <c r="C874" t="s">
        <v>364</v>
      </c>
      <c r="D874" t="s">
        <v>378</v>
      </c>
      <c r="E874" t="s">
        <v>2197</v>
      </c>
      <c r="F874" t="s">
        <v>2198</v>
      </c>
      <c r="G874">
        <v>298165</v>
      </c>
      <c r="H874">
        <v>0</v>
      </c>
      <c r="I874">
        <v>2.2000000000000002</v>
      </c>
      <c r="J874">
        <v>76</v>
      </c>
      <c r="K874">
        <v>1</v>
      </c>
      <c r="L874" t="s">
        <v>50</v>
      </c>
    </row>
    <row r="875" spans="1:12">
      <c r="A875" t="s">
        <v>2199</v>
      </c>
      <c r="B875" t="s">
        <v>363</v>
      </c>
      <c r="C875" t="s">
        <v>375</v>
      </c>
      <c r="D875" t="s">
        <v>369</v>
      </c>
      <c r="E875" t="s">
        <v>2200</v>
      </c>
      <c r="G875">
        <v>180246</v>
      </c>
      <c r="H875">
        <v>0</v>
      </c>
      <c r="I875">
        <v>4.5999999999999996</v>
      </c>
      <c r="J875">
        <v>73</v>
      </c>
      <c r="K875">
        <v>1</v>
      </c>
      <c r="L875" t="s">
        <v>50</v>
      </c>
    </row>
    <row r="876" spans="1:12">
      <c r="A876" t="s">
        <v>2201</v>
      </c>
      <c r="B876" t="s">
        <v>368</v>
      </c>
      <c r="C876" t="s">
        <v>364</v>
      </c>
      <c r="D876" t="s">
        <v>387</v>
      </c>
      <c r="E876" t="s">
        <v>2202</v>
      </c>
      <c r="G876">
        <v>56727</v>
      </c>
      <c r="H876">
        <v>0</v>
      </c>
      <c r="I876">
        <v>1.3</v>
      </c>
      <c r="J876">
        <v>67</v>
      </c>
      <c r="K876">
        <v>0</v>
      </c>
      <c r="L876" t="s">
        <v>50</v>
      </c>
    </row>
    <row r="877" spans="1:12">
      <c r="A877" t="s">
        <v>2203</v>
      </c>
      <c r="B877" t="s">
        <v>399</v>
      </c>
      <c r="C877" t="s">
        <v>382</v>
      </c>
      <c r="D877" t="s">
        <v>365</v>
      </c>
      <c r="E877" t="s">
        <v>2204</v>
      </c>
      <c r="G877">
        <v>259136</v>
      </c>
      <c r="H877">
        <v>11317</v>
      </c>
      <c r="I877">
        <v>1</v>
      </c>
      <c r="J877">
        <v>44</v>
      </c>
      <c r="K877">
        <v>1</v>
      </c>
      <c r="L877" t="s">
        <v>93</v>
      </c>
    </row>
    <row r="878" spans="1:12">
      <c r="A878" t="s">
        <v>2205</v>
      </c>
      <c r="B878" t="s">
        <v>374</v>
      </c>
      <c r="C878" t="s">
        <v>382</v>
      </c>
      <c r="D878" t="s">
        <v>369</v>
      </c>
      <c r="E878" t="s">
        <v>2206</v>
      </c>
      <c r="G878">
        <v>211509</v>
      </c>
      <c r="H878">
        <v>0</v>
      </c>
      <c r="I878">
        <v>2.8</v>
      </c>
      <c r="J878">
        <v>57</v>
      </c>
      <c r="K878">
        <v>0</v>
      </c>
      <c r="L878" t="s">
        <v>50</v>
      </c>
    </row>
    <row r="879" spans="1:12">
      <c r="A879" t="s">
        <v>2207</v>
      </c>
      <c r="B879" t="s">
        <v>399</v>
      </c>
      <c r="C879" t="s">
        <v>364</v>
      </c>
      <c r="D879" t="s">
        <v>369</v>
      </c>
      <c r="E879" t="s">
        <v>2208</v>
      </c>
      <c r="G879">
        <v>196701</v>
      </c>
      <c r="H879">
        <v>0</v>
      </c>
      <c r="I879">
        <v>4.4000000000000004</v>
      </c>
      <c r="J879">
        <v>86</v>
      </c>
      <c r="K879">
        <v>0</v>
      </c>
      <c r="L879" t="s">
        <v>50</v>
      </c>
    </row>
    <row r="880" spans="1:12">
      <c r="A880" t="s">
        <v>2209</v>
      </c>
      <c r="B880" t="s">
        <v>374</v>
      </c>
      <c r="C880" t="s">
        <v>364</v>
      </c>
      <c r="D880" t="s">
        <v>383</v>
      </c>
      <c r="E880" t="s">
        <v>2210</v>
      </c>
      <c r="G880">
        <v>97400</v>
      </c>
      <c r="H880">
        <v>0</v>
      </c>
      <c r="I880">
        <v>2.4</v>
      </c>
      <c r="J880">
        <v>81</v>
      </c>
      <c r="K880">
        <v>0</v>
      </c>
      <c r="L880" t="s">
        <v>50</v>
      </c>
    </row>
    <row r="881" spans="1:12">
      <c r="A881" t="s">
        <v>2211</v>
      </c>
      <c r="B881" t="s">
        <v>363</v>
      </c>
      <c r="C881" t="s">
        <v>364</v>
      </c>
      <c r="D881" t="s">
        <v>383</v>
      </c>
      <c r="E881" t="s">
        <v>632</v>
      </c>
      <c r="G881">
        <v>138182</v>
      </c>
      <c r="H881">
        <v>0</v>
      </c>
      <c r="I881">
        <v>3.4</v>
      </c>
      <c r="J881">
        <v>68</v>
      </c>
      <c r="K881">
        <v>3</v>
      </c>
      <c r="L881" t="s">
        <v>50</v>
      </c>
    </row>
    <row r="882" spans="1:12">
      <c r="A882" t="s">
        <v>2212</v>
      </c>
      <c r="B882" t="s">
        <v>399</v>
      </c>
      <c r="C882" t="s">
        <v>375</v>
      </c>
      <c r="D882" t="s">
        <v>387</v>
      </c>
      <c r="E882" t="s">
        <v>2213</v>
      </c>
      <c r="G882">
        <v>58402</v>
      </c>
      <c r="H882">
        <v>0</v>
      </c>
      <c r="I882">
        <v>3.2</v>
      </c>
      <c r="J882">
        <v>82</v>
      </c>
      <c r="K882">
        <v>1</v>
      </c>
      <c r="L882" t="s">
        <v>50</v>
      </c>
    </row>
    <row r="883" spans="1:12">
      <c r="A883" t="s">
        <v>2214</v>
      </c>
      <c r="B883" t="s">
        <v>399</v>
      </c>
      <c r="C883" t="s">
        <v>382</v>
      </c>
      <c r="D883" t="s">
        <v>365</v>
      </c>
      <c r="E883" t="s">
        <v>2215</v>
      </c>
      <c r="G883">
        <v>218204</v>
      </c>
      <c r="H883">
        <v>0</v>
      </c>
      <c r="I883">
        <v>3.5</v>
      </c>
      <c r="J883">
        <v>59</v>
      </c>
      <c r="K883">
        <v>1</v>
      </c>
      <c r="L883" t="s">
        <v>50</v>
      </c>
    </row>
    <row r="884" spans="1:12">
      <c r="A884" t="s">
        <v>2216</v>
      </c>
      <c r="B884" t="s">
        <v>368</v>
      </c>
      <c r="C884" t="s">
        <v>382</v>
      </c>
      <c r="D884" t="s">
        <v>365</v>
      </c>
      <c r="E884" t="s">
        <v>886</v>
      </c>
      <c r="G884">
        <v>201908</v>
      </c>
      <c r="H884">
        <v>0</v>
      </c>
      <c r="I884">
        <v>1.1000000000000001</v>
      </c>
      <c r="J884">
        <v>93</v>
      </c>
      <c r="K884">
        <v>1</v>
      </c>
      <c r="L884" t="s">
        <v>50</v>
      </c>
    </row>
    <row r="885" spans="1:12">
      <c r="A885" t="s">
        <v>2217</v>
      </c>
      <c r="B885" t="s">
        <v>363</v>
      </c>
      <c r="C885" t="s">
        <v>382</v>
      </c>
      <c r="D885" t="s">
        <v>378</v>
      </c>
      <c r="E885" t="s">
        <v>2218</v>
      </c>
      <c r="G885">
        <v>519022</v>
      </c>
      <c r="H885">
        <v>0</v>
      </c>
      <c r="I885">
        <v>2.9</v>
      </c>
      <c r="J885">
        <v>59</v>
      </c>
      <c r="K885">
        <v>2</v>
      </c>
      <c r="L885" t="s">
        <v>93</v>
      </c>
    </row>
    <row r="886" spans="1:12">
      <c r="A886" t="s">
        <v>2219</v>
      </c>
      <c r="B886" t="s">
        <v>363</v>
      </c>
      <c r="C886" t="s">
        <v>375</v>
      </c>
      <c r="D886" t="s">
        <v>365</v>
      </c>
      <c r="E886" t="s">
        <v>514</v>
      </c>
      <c r="G886">
        <v>289208</v>
      </c>
      <c r="H886">
        <v>0</v>
      </c>
      <c r="I886">
        <v>3.5</v>
      </c>
      <c r="J886">
        <v>66</v>
      </c>
      <c r="K886">
        <v>2</v>
      </c>
      <c r="L886" t="s">
        <v>50</v>
      </c>
    </row>
    <row r="887" spans="1:12">
      <c r="A887" t="s">
        <v>2220</v>
      </c>
      <c r="B887" t="s">
        <v>399</v>
      </c>
      <c r="C887" t="s">
        <v>4</v>
      </c>
      <c r="D887" t="s">
        <v>369</v>
      </c>
      <c r="E887" t="s">
        <v>2221</v>
      </c>
      <c r="G887">
        <v>232419</v>
      </c>
      <c r="H887">
        <v>483398</v>
      </c>
      <c r="I887">
        <v>3.3</v>
      </c>
      <c r="J887">
        <v>66</v>
      </c>
      <c r="K887">
        <v>1</v>
      </c>
      <c r="L887" t="s">
        <v>50</v>
      </c>
    </row>
    <row r="888" spans="1:12">
      <c r="A888" t="s">
        <v>2222</v>
      </c>
      <c r="B888" t="s">
        <v>368</v>
      </c>
      <c r="C888" t="s">
        <v>382</v>
      </c>
      <c r="D888" t="s">
        <v>378</v>
      </c>
      <c r="E888" t="s">
        <v>2223</v>
      </c>
      <c r="G888">
        <v>464177</v>
      </c>
      <c r="H888">
        <v>0</v>
      </c>
      <c r="I888">
        <v>4.4000000000000004</v>
      </c>
      <c r="J888">
        <v>60</v>
      </c>
      <c r="K888">
        <v>3</v>
      </c>
      <c r="L888" t="s">
        <v>50</v>
      </c>
    </row>
    <row r="889" spans="1:12">
      <c r="A889" t="s">
        <v>2224</v>
      </c>
      <c r="B889" t="s">
        <v>399</v>
      </c>
      <c r="C889" t="s">
        <v>364</v>
      </c>
      <c r="D889" t="s">
        <v>387</v>
      </c>
      <c r="E889" t="s">
        <v>2225</v>
      </c>
      <c r="G889">
        <v>72935</v>
      </c>
      <c r="H889">
        <v>12012</v>
      </c>
      <c r="I889">
        <v>3.1</v>
      </c>
      <c r="J889">
        <v>47</v>
      </c>
      <c r="K889">
        <v>2</v>
      </c>
      <c r="L889" t="s">
        <v>50</v>
      </c>
    </row>
    <row r="890" spans="1:12">
      <c r="A890" t="s">
        <v>2226</v>
      </c>
      <c r="B890" t="s">
        <v>374</v>
      </c>
      <c r="C890" t="s">
        <v>4</v>
      </c>
      <c r="D890" t="s">
        <v>387</v>
      </c>
      <c r="E890" t="s">
        <v>2227</v>
      </c>
      <c r="G890">
        <v>52747</v>
      </c>
      <c r="H890">
        <v>1279919</v>
      </c>
      <c r="I890">
        <v>4.4000000000000004</v>
      </c>
      <c r="J890">
        <v>77</v>
      </c>
      <c r="K890">
        <v>3</v>
      </c>
      <c r="L890" t="s">
        <v>50</v>
      </c>
    </row>
    <row r="891" spans="1:12">
      <c r="A891" t="s">
        <v>2228</v>
      </c>
      <c r="B891" t="s">
        <v>374</v>
      </c>
      <c r="C891" t="s">
        <v>375</v>
      </c>
      <c r="D891" t="s">
        <v>437</v>
      </c>
      <c r="E891" t="s">
        <v>1277</v>
      </c>
      <c r="G891">
        <v>296988</v>
      </c>
      <c r="H891">
        <v>31679</v>
      </c>
      <c r="I891">
        <v>3.4</v>
      </c>
      <c r="J891">
        <v>66</v>
      </c>
      <c r="K891">
        <v>0</v>
      </c>
      <c r="L891" t="s">
        <v>50</v>
      </c>
    </row>
    <row r="892" spans="1:12">
      <c r="A892" t="s">
        <v>2229</v>
      </c>
      <c r="B892" t="s">
        <v>399</v>
      </c>
      <c r="C892" t="s">
        <v>375</v>
      </c>
      <c r="D892" t="s">
        <v>417</v>
      </c>
      <c r="E892" t="s">
        <v>2230</v>
      </c>
      <c r="G892">
        <v>387170</v>
      </c>
      <c r="H892">
        <v>0</v>
      </c>
      <c r="I892">
        <v>3.7</v>
      </c>
      <c r="J892">
        <v>97</v>
      </c>
      <c r="K892">
        <v>0</v>
      </c>
      <c r="L892" t="s">
        <v>50</v>
      </c>
    </row>
    <row r="893" spans="1:12">
      <c r="A893" t="s">
        <v>2231</v>
      </c>
      <c r="B893" t="s">
        <v>368</v>
      </c>
      <c r="C893" t="s">
        <v>4</v>
      </c>
      <c r="D893" t="s">
        <v>378</v>
      </c>
      <c r="E893" t="s">
        <v>2232</v>
      </c>
      <c r="G893">
        <v>352198</v>
      </c>
      <c r="H893">
        <v>357801</v>
      </c>
      <c r="I893">
        <v>4</v>
      </c>
      <c r="J893">
        <v>71</v>
      </c>
      <c r="K893">
        <v>3</v>
      </c>
      <c r="L893" t="s">
        <v>50</v>
      </c>
    </row>
    <row r="894" spans="1:12">
      <c r="A894" t="s">
        <v>2233</v>
      </c>
      <c r="B894" t="s">
        <v>363</v>
      </c>
      <c r="C894" t="s">
        <v>375</v>
      </c>
      <c r="D894" t="s">
        <v>369</v>
      </c>
      <c r="E894" t="s">
        <v>2234</v>
      </c>
      <c r="G894">
        <v>147312</v>
      </c>
      <c r="H894">
        <v>0</v>
      </c>
      <c r="I894">
        <v>2.9</v>
      </c>
      <c r="J894">
        <v>95</v>
      </c>
      <c r="K894">
        <v>0</v>
      </c>
      <c r="L894" t="s">
        <v>50</v>
      </c>
    </row>
    <row r="895" spans="1:12">
      <c r="A895" t="s">
        <v>2235</v>
      </c>
      <c r="B895" t="s">
        <v>374</v>
      </c>
      <c r="C895" t="s">
        <v>375</v>
      </c>
      <c r="D895" t="s">
        <v>378</v>
      </c>
      <c r="E895" t="s">
        <v>2236</v>
      </c>
      <c r="G895">
        <v>500864</v>
      </c>
      <c r="H895">
        <v>0</v>
      </c>
      <c r="I895">
        <v>1.6</v>
      </c>
      <c r="J895">
        <v>83</v>
      </c>
      <c r="K895">
        <v>0</v>
      </c>
      <c r="L895" t="s">
        <v>50</v>
      </c>
    </row>
    <row r="896" spans="1:12">
      <c r="A896" t="s">
        <v>2237</v>
      </c>
      <c r="B896" t="s">
        <v>374</v>
      </c>
      <c r="C896" t="s">
        <v>375</v>
      </c>
      <c r="D896" t="s">
        <v>383</v>
      </c>
      <c r="E896" t="s">
        <v>2238</v>
      </c>
      <c r="F896" t="s">
        <v>1148</v>
      </c>
      <c r="G896">
        <v>130356</v>
      </c>
      <c r="H896">
        <v>0</v>
      </c>
      <c r="I896">
        <v>2.1</v>
      </c>
      <c r="J896">
        <v>67</v>
      </c>
      <c r="K896">
        <v>0</v>
      </c>
      <c r="L896" t="s">
        <v>93</v>
      </c>
    </row>
    <row r="897" spans="1:12">
      <c r="A897" t="s">
        <v>2239</v>
      </c>
      <c r="B897" t="s">
        <v>399</v>
      </c>
      <c r="C897" t="s">
        <v>364</v>
      </c>
      <c r="D897" t="s">
        <v>365</v>
      </c>
      <c r="E897" t="s">
        <v>2240</v>
      </c>
      <c r="G897">
        <v>296684</v>
      </c>
      <c r="H897">
        <v>0</v>
      </c>
      <c r="I897">
        <v>3.9</v>
      </c>
      <c r="J897">
        <v>65</v>
      </c>
      <c r="K897">
        <v>0</v>
      </c>
      <c r="L897" t="s">
        <v>50</v>
      </c>
    </row>
    <row r="898" spans="1:12">
      <c r="A898" t="s">
        <v>2241</v>
      </c>
      <c r="B898" t="s">
        <v>399</v>
      </c>
      <c r="C898" t="s">
        <v>382</v>
      </c>
      <c r="D898" t="s">
        <v>417</v>
      </c>
      <c r="E898" t="s">
        <v>1169</v>
      </c>
      <c r="G898">
        <v>369890</v>
      </c>
      <c r="H898">
        <v>0</v>
      </c>
      <c r="I898">
        <v>3.8</v>
      </c>
      <c r="J898">
        <v>77</v>
      </c>
      <c r="K898">
        <v>1</v>
      </c>
      <c r="L898" t="s">
        <v>50</v>
      </c>
    </row>
    <row r="899" spans="1:12">
      <c r="A899" t="s">
        <v>2242</v>
      </c>
      <c r="B899" t="s">
        <v>399</v>
      </c>
      <c r="C899" t="s">
        <v>364</v>
      </c>
      <c r="D899" t="s">
        <v>437</v>
      </c>
      <c r="E899" t="s">
        <v>2243</v>
      </c>
      <c r="G899">
        <v>375450</v>
      </c>
      <c r="H899">
        <v>0</v>
      </c>
      <c r="I899">
        <v>1.2</v>
      </c>
      <c r="J899">
        <v>68</v>
      </c>
      <c r="K899">
        <v>2</v>
      </c>
      <c r="L899" t="s">
        <v>93</v>
      </c>
    </row>
    <row r="900" spans="1:12">
      <c r="A900" t="s">
        <v>2244</v>
      </c>
      <c r="B900" t="s">
        <v>399</v>
      </c>
      <c r="C900" t="s">
        <v>382</v>
      </c>
      <c r="D900" t="s">
        <v>378</v>
      </c>
      <c r="E900" t="s">
        <v>1194</v>
      </c>
      <c r="G900">
        <v>487844</v>
      </c>
      <c r="H900">
        <v>0</v>
      </c>
      <c r="I900">
        <v>1.3</v>
      </c>
      <c r="J900">
        <v>95</v>
      </c>
      <c r="K900">
        <v>1</v>
      </c>
      <c r="L900" t="s">
        <v>50</v>
      </c>
    </row>
    <row r="901" spans="1:12">
      <c r="A901" t="s">
        <v>2245</v>
      </c>
      <c r="B901" t="s">
        <v>399</v>
      </c>
      <c r="C901" t="s">
        <v>382</v>
      </c>
      <c r="D901" t="s">
        <v>365</v>
      </c>
      <c r="E901" t="s">
        <v>2246</v>
      </c>
      <c r="G901">
        <v>318180</v>
      </c>
      <c r="H901">
        <v>0</v>
      </c>
      <c r="I901">
        <v>2.5</v>
      </c>
      <c r="J901">
        <v>58</v>
      </c>
      <c r="K901">
        <v>0</v>
      </c>
      <c r="L901" t="s">
        <v>50</v>
      </c>
    </row>
    <row r="902" spans="1:12">
      <c r="A902" t="s">
        <v>2247</v>
      </c>
      <c r="B902" t="s">
        <v>363</v>
      </c>
      <c r="C902" t="s">
        <v>4</v>
      </c>
      <c r="D902" t="s">
        <v>378</v>
      </c>
      <c r="E902" t="s">
        <v>2248</v>
      </c>
      <c r="G902">
        <v>300797</v>
      </c>
      <c r="H902">
        <v>1679388</v>
      </c>
      <c r="I902">
        <v>4.0999999999999996</v>
      </c>
      <c r="J902">
        <v>60</v>
      </c>
      <c r="K902">
        <v>0</v>
      </c>
      <c r="L902" t="s">
        <v>50</v>
      </c>
    </row>
    <row r="903" spans="1:12">
      <c r="A903" t="s">
        <v>2249</v>
      </c>
      <c r="B903" t="s">
        <v>363</v>
      </c>
      <c r="C903" t="s">
        <v>382</v>
      </c>
      <c r="D903" t="s">
        <v>383</v>
      </c>
      <c r="E903" t="s">
        <v>2250</v>
      </c>
      <c r="G903">
        <v>149736</v>
      </c>
      <c r="H903">
        <v>0</v>
      </c>
      <c r="I903">
        <v>3.9</v>
      </c>
      <c r="J903">
        <v>63</v>
      </c>
      <c r="K903">
        <v>1</v>
      </c>
      <c r="L903" t="s">
        <v>50</v>
      </c>
    </row>
    <row r="904" spans="1:12">
      <c r="A904" t="s">
        <v>2251</v>
      </c>
      <c r="B904" t="s">
        <v>368</v>
      </c>
      <c r="C904" t="s">
        <v>4</v>
      </c>
      <c r="D904" t="s">
        <v>387</v>
      </c>
      <c r="E904" t="s">
        <v>2252</v>
      </c>
      <c r="G904">
        <v>56940</v>
      </c>
      <c r="H904">
        <v>2106975</v>
      </c>
      <c r="I904">
        <v>3.9</v>
      </c>
      <c r="J904">
        <v>74</v>
      </c>
      <c r="K904">
        <v>1</v>
      </c>
      <c r="L904" t="s">
        <v>93</v>
      </c>
    </row>
    <row r="905" spans="1:12">
      <c r="A905" t="s">
        <v>2253</v>
      </c>
      <c r="B905" t="s">
        <v>368</v>
      </c>
      <c r="C905" t="s">
        <v>364</v>
      </c>
      <c r="D905" t="s">
        <v>383</v>
      </c>
      <c r="E905" t="s">
        <v>2254</v>
      </c>
      <c r="G905">
        <v>107064</v>
      </c>
      <c r="H905">
        <v>0</v>
      </c>
      <c r="I905">
        <v>2.5</v>
      </c>
      <c r="J905">
        <v>89</v>
      </c>
      <c r="K905">
        <v>0</v>
      </c>
      <c r="L905" t="s">
        <v>93</v>
      </c>
    </row>
    <row r="906" spans="1:12">
      <c r="A906" t="s">
        <v>2255</v>
      </c>
      <c r="B906" t="s">
        <v>399</v>
      </c>
      <c r="C906" t="s">
        <v>364</v>
      </c>
      <c r="D906" t="s">
        <v>387</v>
      </c>
      <c r="E906" t="s">
        <v>2256</v>
      </c>
      <c r="G906">
        <v>47132</v>
      </c>
      <c r="H906">
        <v>0</v>
      </c>
      <c r="I906">
        <v>1.7</v>
      </c>
      <c r="J906">
        <v>58</v>
      </c>
      <c r="K906">
        <v>1</v>
      </c>
      <c r="L906" t="s">
        <v>50</v>
      </c>
    </row>
    <row r="907" spans="1:12">
      <c r="A907" t="s">
        <v>2257</v>
      </c>
      <c r="B907" t="s">
        <v>363</v>
      </c>
      <c r="C907" t="s">
        <v>364</v>
      </c>
      <c r="D907" t="s">
        <v>437</v>
      </c>
      <c r="E907" t="s">
        <v>903</v>
      </c>
      <c r="G907">
        <v>458322</v>
      </c>
      <c r="H907">
        <v>0</v>
      </c>
      <c r="I907">
        <v>2.9</v>
      </c>
      <c r="J907">
        <v>74</v>
      </c>
      <c r="K907">
        <v>0</v>
      </c>
      <c r="L907" t="s">
        <v>50</v>
      </c>
    </row>
    <row r="908" spans="1:12">
      <c r="A908" t="s">
        <v>2258</v>
      </c>
      <c r="B908" t="s">
        <v>363</v>
      </c>
      <c r="C908" t="s">
        <v>382</v>
      </c>
      <c r="D908" t="s">
        <v>383</v>
      </c>
      <c r="E908" t="s">
        <v>2259</v>
      </c>
      <c r="G908">
        <v>87292</v>
      </c>
      <c r="H908">
        <v>0</v>
      </c>
      <c r="I908">
        <v>3.4</v>
      </c>
      <c r="J908">
        <v>47</v>
      </c>
      <c r="K908">
        <v>0</v>
      </c>
      <c r="L908" t="s">
        <v>50</v>
      </c>
    </row>
    <row r="909" spans="1:12">
      <c r="A909" t="s">
        <v>2260</v>
      </c>
      <c r="B909" t="s">
        <v>374</v>
      </c>
      <c r="C909" t="s">
        <v>364</v>
      </c>
      <c r="D909" t="s">
        <v>417</v>
      </c>
      <c r="E909" t="s">
        <v>2134</v>
      </c>
      <c r="G909">
        <v>203155</v>
      </c>
      <c r="H909">
        <v>0</v>
      </c>
      <c r="I909">
        <v>2.1</v>
      </c>
      <c r="J909">
        <v>91</v>
      </c>
      <c r="K909">
        <v>0</v>
      </c>
      <c r="L909" t="s">
        <v>50</v>
      </c>
    </row>
    <row r="910" spans="1:12">
      <c r="A910" t="s">
        <v>2261</v>
      </c>
      <c r="B910" t="s">
        <v>374</v>
      </c>
      <c r="C910" t="s">
        <v>364</v>
      </c>
      <c r="D910" t="s">
        <v>417</v>
      </c>
      <c r="E910" t="s">
        <v>2262</v>
      </c>
      <c r="G910">
        <v>265175</v>
      </c>
      <c r="H910">
        <v>0</v>
      </c>
      <c r="I910">
        <v>4.0999999999999996</v>
      </c>
      <c r="J910">
        <v>56</v>
      </c>
      <c r="K910">
        <v>3</v>
      </c>
      <c r="L910" t="s">
        <v>50</v>
      </c>
    </row>
    <row r="911" spans="1:12">
      <c r="A911" t="s">
        <v>2263</v>
      </c>
      <c r="B911" t="s">
        <v>374</v>
      </c>
      <c r="C911" t="s">
        <v>364</v>
      </c>
      <c r="D911" t="s">
        <v>369</v>
      </c>
      <c r="E911" t="s">
        <v>2264</v>
      </c>
      <c r="G911">
        <v>153303</v>
      </c>
      <c r="H911">
        <v>0</v>
      </c>
      <c r="I911">
        <v>2</v>
      </c>
      <c r="J911">
        <v>89</v>
      </c>
      <c r="K911">
        <v>0</v>
      </c>
      <c r="L911" t="s">
        <v>50</v>
      </c>
    </row>
    <row r="912" spans="1:12">
      <c r="A912" t="s">
        <v>2265</v>
      </c>
      <c r="B912" t="s">
        <v>363</v>
      </c>
      <c r="C912" t="s">
        <v>375</v>
      </c>
      <c r="D912" t="s">
        <v>369</v>
      </c>
      <c r="E912" t="s">
        <v>2266</v>
      </c>
      <c r="G912">
        <v>129915</v>
      </c>
      <c r="H912">
        <v>0</v>
      </c>
      <c r="I912">
        <v>2.4</v>
      </c>
      <c r="J912">
        <v>78</v>
      </c>
      <c r="K912">
        <v>2</v>
      </c>
      <c r="L912" t="s">
        <v>50</v>
      </c>
    </row>
    <row r="913" spans="1:12">
      <c r="A913" t="s">
        <v>2267</v>
      </c>
      <c r="B913" t="s">
        <v>363</v>
      </c>
      <c r="C913" t="s">
        <v>382</v>
      </c>
      <c r="D913" t="s">
        <v>387</v>
      </c>
      <c r="E913" t="s">
        <v>2268</v>
      </c>
      <c r="G913">
        <v>43827</v>
      </c>
      <c r="H913">
        <v>0</v>
      </c>
      <c r="I913">
        <v>3.8</v>
      </c>
      <c r="J913">
        <v>87</v>
      </c>
      <c r="K913">
        <v>1</v>
      </c>
      <c r="L913" t="s">
        <v>50</v>
      </c>
    </row>
    <row r="914" spans="1:12">
      <c r="A914" t="s">
        <v>2269</v>
      </c>
      <c r="B914" t="s">
        <v>399</v>
      </c>
      <c r="C914" t="s">
        <v>364</v>
      </c>
      <c r="D914" t="s">
        <v>378</v>
      </c>
      <c r="E914" t="s">
        <v>2270</v>
      </c>
      <c r="G914">
        <v>461972</v>
      </c>
      <c r="H914">
        <v>10334</v>
      </c>
      <c r="I914">
        <v>4.8</v>
      </c>
      <c r="J914">
        <v>61</v>
      </c>
      <c r="K914">
        <v>1</v>
      </c>
      <c r="L914" t="s">
        <v>50</v>
      </c>
    </row>
    <row r="915" spans="1:12">
      <c r="A915" t="s">
        <v>2271</v>
      </c>
      <c r="B915" t="s">
        <v>399</v>
      </c>
      <c r="C915" t="s">
        <v>382</v>
      </c>
      <c r="D915" t="s">
        <v>369</v>
      </c>
      <c r="E915" t="s">
        <v>2272</v>
      </c>
      <c r="F915" t="s">
        <v>1006</v>
      </c>
      <c r="G915">
        <v>123012</v>
      </c>
      <c r="H915">
        <v>0</v>
      </c>
      <c r="I915">
        <v>4.5999999999999996</v>
      </c>
      <c r="J915">
        <v>49</v>
      </c>
      <c r="K915">
        <v>0</v>
      </c>
      <c r="L915" t="s">
        <v>50</v>
      </c>
    </row>
    <row r="916" spans="1:12">
      <c r="A916" t="s">
        <v>2273</v>
      </c>
      <c r="B916" t="s">
        <v>368</v>
      </c>
      <c r="C916" t="s">
        <v>364</v>
      </c>
      <c r="D916" t="s">
        <v>417</v>
      </c>
      <c r="E916" t="s">
        <v>2274</v>
      </c>
      <c r="G916">
        <v>316860</v>
      </c>
      <c r="H916">
        <v>0</v>
      </c>
      <c r="I916">
        <v>2</v>
      </c>
      <c r="J916">
        <v>65</v>
      </c>
      <c r="K916">
        <v>0</v>
      </c>
      <c r="L916" t="s">
        <v>50</v>
      </c>
    </row>
    <row r="917" spans="1:12">
      <c r="A917" t="s">
        <v>2275</v>
      </c>
      <c r="B917" t="s">
        <v>374</v>
      </c>
      <c r="C917" t="s">
        <v>364</v>
      </c>
      <c r="D917" t="s">
        <v>417</v>
      </c>
      <c r="E917" t="s">
        <v>1407</v>
      </c>
      <c r="G917">
        <v>386175</v>
      </c>
      <c r="H917">
        <v>0</v>
      </c>
      <c r="I917">
        <v>2.8</v>
      </c>
      <c r="J917">
        <v>60</v>
      </c>
      <c r="K917">
        <v>0</v>
      </c>
      <c r="L917" t="s">
        <v>50</v>
      </c>
    </row>
    <row r="918" spans="1:12">
      <c r="A918" t="s">
        <v>2276</v>
      </c>
      <c r="B918" t="s">
        <v>363</v>
      </c>
      <c r="C918" t="s">
        <v>375</v>
      </c>
      <c r="D918" t="s">
        <v>437</v>
      </c>
      <c r="E918" t="s">
        <v>2277</v>
      </c>
      <c r="G918">
        <v>390948</v>
      </c>
      <c r="H918">
        <v>0</v>
      </c>
      <c r="I918">
        <v>3.6</v>
      </c>
      <c r="J918">
        <v>82</v>
      </c>
      <c r="K918">
        <v>1</v>
      </c>
      <c r="L918" t="s">
        <v>93</v>
      </c>
    </row>
    <row r="919" spans="1:12">
      <c r="A919" t="s">
        <v>2278</v>
      </c>
      <c r="B919" t="s">
        <v>399</v>
      </c>
      <c r="C919" t="s">
        <v>364</v>
      </c>
      <c r="D919" t="s">
        <v>387</v>
      </c>
      <c r="E919" t="s">
        <v>2279</v>
      </c>
      <c r="G919">
        <v>56098</v>
      </c>
      <c r="H919">
        <v>46060</v>
      </c>
      <c r="I919">
        <v>1.7</v>
      </c>
      <c r="J919">
        <v>90</v>
      </c>
      <c r="K919">
        <v>1</v>
      </c>
      <c r="L919" t="s">
        <v>50</v>
      </c>
    </row>
    <row r="920" spans="1:12">
      <c r="A920" t="s">
        <v>2280</v>
      </c>
      <c r="B920" t="s">
        <v>399</v>
      </c>
      <c r="C920" t="s">
        <v>375</v>
      </c>
      <c r="D920" t="s">
        <v>437</v>
      </c>
      <c r="E920" t="s">
        <v>2281</v>
      </c>
      <c r="G920">
        <v>355542</v>
      </c>
      <c r="H920">
        <v>43286</v>
      </c>
      <c r="I920">
        <v>3.6</v>
      </c>
      <c r="J920">
        <v>78</v>
      </c>
      <c r="K920">
        <v>0</v>
      </c>
      <c r="L920" t="s">
        <v>50</v>
      </c>
    </row>
    <row r="921" spans="1:12">
      <c r="A921" t="s">
        <v>2282</v>
      </c>
      <c r="B921" t="s">
        <v>368</v>
      </c>
      <c r="C921" t="s">
        <v>364</v>
      </c>
      <c r="D921" t="s">
        <v>378</v>
      </c>
      <c r="E921" t="s">
        <v>2283</v>
      </c>
      <c r="G921">
        <v>294770</v>
      </c>
      <c r="H921">
        <v>0</v>
      </c>
      <c r="I921">
        <v>1.7</v>
      </c>
      <c r="J921">
        <v>41</v>
      </c>
      <c r="K921">
        <v>1</v>
      </c>
      <c r="L921" t="s">
        <v>50</v>
      </c>
    </row>
    <row r="922" spans="1:12">
      <c r="A922" t="s">
        <v>2284</v>
      </c>
      <c r="B922" t="s">
        <v>374</v>
      </c>
      <c r="C922" t="s">
        <v>382</v>
      </c>
      <c r="D922" t="s">
        <v>387</v>
      </c>
      <c r="E922" t="s">
        <v>2285</v>
      </c>
      <c r="G922">
        <v>75896</v>
      </c>
      <c r="H922">
        <v>10749</v>
      </c>
      <c r="I922">
        <v>4.9000000000000004</v>
      </c>
      <c r="J922">
        <v>79</v>
      </c>
      <c r="K922">
        <v>0</v>
      </c>
      <c r="L922" t="s">
        <v>50</v>
      </c>
    </row>
    <row r="923" spans="1:12">
      <c r="A923" t="s">
        <v>2286</v>
      </c>
      <c r="B923" t="s">
        <v>363</v>
      </c>
      <c r="C923" t="s">
        <v>382</v>
      </c>
      <c r="D923" t="s">
        <v>387</v>
      </c>
      <c r="E923" t="s">
        <v>721</v>
      </c>
      <c r="G923">
        <v>69829</v>
      </c>
      <c r="H923">
        <v>0</v>
      </c>
      <c r="I923">
        <v>3.7</v>
      </c>
      <c r="J923">
        <v>76</v>
      </c>
      <c r="K923">
        <v>3</v>
      </c>
      <c r="L923" t="s">
        <v>50</v>
      </c>
    </row>
    <row r="924" spans="1:12">
      <c r="A924" t="s">
        <v>2287</v>
      </c>
      <c r="B924" t="s">
        <v>374</v>
      </c>
      <c r="C924" t="s">
        <v>4</v>
      </c>
      <c r="D924" t="s">
        <v>369</v>
      </c>
      <c r="E924" t="s">
        <v>2288</v>
      </c>
      <c r="G924">
        <v>156384</v>
      </c>
      <c r="H924">
        <v>2193817</v>
      </c>
      <c r="I924">
        <v>4</v>
      </c>
      <c r="J924">
        <v>43</v>
      </c>
      <c r="K924">
        <v>3</v>
      </c>
      <c r="L924" t="s">
        <v>50</v>
      </c>
    </row>
    <row r="925" spans="1:12">
      <c r="A925" t="s">
        <v>2289</v>
      </c>
      <c r="B925" t="s">
        <v>374</v>
      </c>
      <c r="C925" t="s">
        <v>4</v>
      </c>
      <c r="D925" t="s">
        <v>383</v>
      </c>
      <c r="E925" t="s">
        <v>2290</v>
      </c>
      <c r="G925">
        <v>140712</v>
      </c>
      <c r="H925">
        <v>1924460</v>
      </c>
      <c r="I925">
        <v>4.3</v>
      </c>
      <c r="J925">
        <v>80</v>
      </c>
      <c r="K925">
        <v>2</v>
      </c>
      <c r="L925" t="s">
        <v>50</v>
      </c>
    </row>
    <row r="926" spans="1:12">
      <c r="A926" t="s">
        <v>2291</v>
      </c>
      <c r="B926" t="s">
        <v>374</v>
      </c>
      <c r="C926" t="s">
        <v>4</v>
      </c>
      <c r="D926" t="s">
        <v>365</v>
      </c>
      <c r="E926" t="s">
        <v>2292</v>
      </c>
      <c r="F926" t="s">
        <v>2293</v>
      </c>
      <c r="G926">
        <v>200536</v>
      </c>
      <c r="H926">
        <v>1751402</v>
      </c>
      <c r="I926">
        <v>4.4000000000000004</v>
      </c>
      <c r="J926">
        <v>82</v>
      </c>
      <c r="K926">
        <v>0</v>
      </c>
      <c r="L926" t="s">
        <v>50</v>
      </c>
    </row>
    <row r="927" spans="1:12">
      <c r="A927" t="s">
        <v>2294</v>
      </c>
      <c r="B927" t="s">
        <v>399</v>
      </c>
      <c r="C927" t="s">
        <v>375</v>
      </c>
      <c r="D927" t="s">
        <v>369</v>
      </c>
      <c r="E927" t="s">
        <v>2295</v>
      </c>
      <c r="G927">
        <v>170592</v>
      </c>
      <c r="H927">
        <v>0</v>
      </c>
      <c r="I927">
        <v>3.4</v>
      </c>
      <c r="J927">
        <v>86</v>
      </c>
      <c r="K927">
        <v>0</v>
      </c>
      <c r="L927" t="s">
        <v>50</v>
      </c>
    </row>
    <row r="928" spans="1:12">
      <c r="A928" t="s">
        <v>2296</v>
      </c>
      <c r="B928" t="s">
        <v>368</v>
      </c>
      <c r="C928" t="s">
        <v>364</v>
      </c>
      <c r="D928" t="s">
        <v>378</v>
      </c>
      <c r="E928" t="s">
        <v>2297</v>
      </c>
      <c r="F928" t="s">
        <v>2298</v>
      </c>
      <c r="G928">
        <v>384020</v>
      </c>
      <c r="H928">
        <v>0</v>
      </c>
      <c r="I928">
        <v>2.1</v>
      </c>
      <c r="J928">
        <v>71</v>
      </c>
      <c r="K928">
        <v>1</v>
      </c>
      <c r="L928" t="s">
        <v>50</v>
      </c>
    </row>
    <row r="929" spans="1:12">
      <c r="A929" t="s">
        <v>2299</v>
      </c>
      <c r="B929" t="s">
        <v>363</v>
      </c>
      <c r="C929" t="s">
        <v>4</v>
      </c>
      <c r="D929" t="s">
        <v>437</v>
      </c>
      <c r="E929" t="s">
        <v>2300</v>
      </c>
      <c r="G929">
        <v>262992</v>
      </c>
      <c r="H929">
        <v>1813394</v>
      </c>
      <c r="I929">
        <v>2.9</v>
      </c>
      <c r="J929">
        <v>60</v>
      </c>
      <c r="K929">
        <v>2</v>
      </c>
      <c r="L929" t="s">
        <v>50</v>
      </c>
    </row>
    <row r="930" spans="1:12">
      <c r="A930" t="s">
        <v>2301</v>
      </c>
      <c r="B930" t="s">
        <v>399</v>
      </c>
      <c r="C930" t="s">
        <v>4</v>
      </c>
      <c r="D930" t="s">
        <v>387</v>
      </c>
      <c r="E930" t="s">
        <v>2302</v>
      </c>
      <c r="G930">
        <v>46099</v>
      </c>
      <c r="H930">
        <v>1607265</v>
      </c>
      <c r="I930">
        <v>3.5</v>
      </c>
      <c r="J930">
        <v>40</v>
      </c>
      <c r="K930">
        <v>2</v>
      </c>
      <c r="L930" t="s">
        <v>50</v>
      </c>
    </row>
    <row r="931" spans="1:12">
      <c r="A931" t="s">
        <v>2303</v>
      </c>
      <c r="B931" t="s">
        <v>374</v>
      </c>
      <c r="C931" t="s">
        <v>375</v>
      </c>
      <c r="D931" t="s">
        <v>378</v>
      </c>
      <c r="E931" t="s">
        <v>2304</v>
      </c>
      <c r="G931">
        <v>402906</v>
      </c>
      <c r="H931">
        <v>0</v>
      </c>
      <c r="I931">
        <v>4.0999999999999996</v>
      </c>
      <c r="J931">
        <v>97</v>
      </c>
      <c r="K931">
        <v>1</v>
      </c>
      <c r="L931" t="s">
        <v>50</v>
      </c>
    </row>
    <row r="932" spans="1:12">
      <c r="A932" t="s">
        <v>2305</v>
      </c>
      <c r="B932" t="s">
        <v>374</v>
      </c>
      <c r="C932" t="s">
        <v>375</v>
      </c>
      <c r="D932" t="s">
        <v>437</v>
      </c>
      <c r="E932" t="s">
        <v>2306</v>
      </c>
      <c r="G932">
        <v>408384</v>
      </c>
      <c r="H932">
        <v>15495</v>
      </c>
      <c r="I932">
        <v>2.6</v>
      </c>
      <c r="J932">
        <v>85</v>
      </c>
      <c r="K932">
        <v>0</v>
      </c>
      <c r="L932" t="s">
        <v>50</v>
      </c>
    </row>
    <row r="933" spans="1:12">
      <c r="A933" t="s">
        <v>2307</v>
      </c>
      <c r="B933" t="s">
        <v>363</v>
      </c>
      <c r="C933" t="s">
        <v>364</v>
      </c>
      <c r="D933" t="s">
        <v>378</v>
      </c>
      <c r="E933" t="s">
        <v>2308</v>
      </c>
      <c r="G933">
        <v>534499</v>
      </c>
      <c r="H933">
        <v>37474</v>
      </c>
      <c r="I933">
        <v>1.8</v>
      </c>
      <c r="J933">
        <v>99</v>
      </c>
      <c r="K933">
        <v>3</v>
      </c>
      <c r="L933" t="s">
        <v>50</v>
      </c>
    </row>
    <row r="934" spans="1:12">
      <c r="A934" t="s">
        <v>2309</v>
      </c>
      <c r="B934" t="s">
        <v>363</v>
      </c>
      <c r="C934" t="s">
        <v>375</v>
      </c>
      <c r="D934" t="s">
        <v>387</v>
      </c>
      <c r="E934" t="s">
        <v>2310</v>
      </c>
      <c r="G934">
        <v>55100</v>
      </c>
      <c r="H934">
        <v>0</v>
      </c>
      <c r="I934">
        <v>1.7</v>
      </c>
      <c r="J934">
        <v>40</v>
      </c>
      <c r="K934">
        <v>3</v>
      </c>
      <c r="L934" t="s">
        <v>50</v>
      </c>
    </row>
    <row r="935" spans="1:12">
      <c r="A935" t="s">
        <v>2311</v>
      </c>
      <c r="B935" t="s">
        <v>368</v>
      </c>
      <c r="C935" t="s">
        <v>364</v>
      </c>
      <c r="D935" t="s">
        <v>383</v>
      </c>
      <c r="E935" t="s">
        <v>2262</v>
      </c>
      <c r="G935">
        <v>124964</v>
      </c>
      <c r="H935">
        <v>19342</v>
      </c>
      <c r="I935">
        <v>2.4</v>
      </c>
      <c r="J935">
        <v>40</v>
      </c>
      <c r="K935">
        <v>2</v>
      </c>
      <c r="L935" t="s">
        <v>50</v>
      </c>
    </row>
    <row r="936" spans="1:12">
      <c r="A936" t="s">
        <v>2312</v>
      </c>
      <c r="B936" t="s">
        <v>368</v>
      </c>
      <c r="C936" t="s">
        <v>4</v>
      </c>
      <c r="D936" t="s">
        <v>437</v>
      </c>
      <c r="E936" t="s">
        <v>2313</v>
      </c>
      <c r="G936">
        <v>420168</v>
      </c>
      <c r="H936">
        <v>882014</v>
      </c>
      <c r="I936">
        <v>3.6</v>
      </c>
      <c r="J936">
        <v>56</v>
      </c>
      <c r="K936">
        <v>0</v>
      </c>
      <c r="L936" t="s">
        <v>50</v>
      </c>
    </row>
    <row r="937" spans="1:12">
      <c r="A937" t="s">
        <v>2314</v>
      </c>
      <c r="B937" t="s">
        <v>368</v>
      </c>
      <c r="C937" t="s">
        <v>4</v>
      </c>
      <c r="D937" t="s">
        <v>387</v>
      </c>
      <c r="E937" t="s">
        <v>2315</v>
      </c>
      <c r="G937">
        <v>47020</v>
      </c>
      <c r="H937">
        <v>914446</v>
      </c>
      <c r="I937">
        <v>4.0999999999999996</v>
      </c>
      <c r="J937">
        <v>66</v>
      </c>
      <c r="K937">
        <v>0</v>
      </c>
      <c r="L937" t="s">
        <v>50</v>
      </c>
    </row>
    <row r="938" spans="1:12">
      <c r="A938" t="s">
        <v>2316</v>
      </c>
      <c r="B938" t="s">
        <v>363</v>
      </c>
      <c r="C938" t="s">
        <v>375</v>
      </c>
      <c r="D938" t="s">
        <v>387</v>
      </c>
      <c r="E938" t="s">
        <v>2317</v>
      </c>
      <c r="G938">
        <v>60601</v>
      </c>
      <c r="H938">
        <v>0</v>
      </c>
      <c r="I938">
        <v>1.9</v>
      </c>
      <c r="J938">
        <v>50</v>
      </c>
      <c r="K938">
        <v>1</v>
      </c>
      <c r="L938" t="s">
        <v>50</v>
      </c>
    </row>
    <row r="939" spans="1:12">
      <c r="A939" t="s">
        <v>2318</v>
      </c>
      <c r="B939" t="s">
        <v>368</v>
      </c>
      <c r="C939" t="s">
        <v>4</v>
      </c>
      <c r="D939" t="s">
        <v>417</v>
      </c>
      <c r="E939" t="s">
        <v>799</v>
      </c>
      <c r="G939">
        <v>273530</v>
      </c>
      <c r="H939">
        <v>1481062</v>
      </c>
      <c r="I939">
        <v>2.4</v>
      </c>
      <c r="J939">
        <v>54</v>
      </c>
      <c r="K939">
        <v>1</v>
      </c>
      <c r="L939" t="s">
        <v>50</v>
      </c>
    </row>
    <row r="940" spans="1:12">
      <c r="A940" t="s">
        <v>2319</v>
      </c>
      <c r="B940" t="s">
        <v>399</v>
      </c>
      <c r="C940" t="s">
        <v>364</v>
      </c>
      <c r="D940" t="s">
        <v>417</v>
      </c>
      <c r="E940" t="s">
        <v>2320</v>
      </c>
      <c r="G940">
        <v>366825</v>
      </c>
      <c r="H940">
        <v>17313</v>
      </c>
      <c r="I940">
        <v>1.5</v>
      </c>
      <c r="J940">
        <v>55</v>
      </c>
      <c r="K940">
        <v>0</v>
      </c>
      <c r="L940" t="s">
        <v>93</v>
      </c>
    </row>
    <row r="941" spans="1:12">
      <c r="A941" t="s">
        <v>2321</v>
      </c>
      <c r="B941" t="s">
        <v>363</v>
      </c>
      <c r="C941" t="s">
        <v>4</v>
      </c>
      <c r="D941" t="s">
        <v>387</v>
      </c>
      <c r="E941" t="s">
        <v>2322</v>
      </c>
      <c r="G941">
        <v>71171</v>
      </c>
      <c r="H941">
        <v>102513</v>
      </c>
      <c r="I941">
        <v>4.8</v>
      </c>
      <c r="J941">
        <v>73</v>
      </c>
      <c r="K941">
        <v>0</v>
      </c>
      <c r="L941" t="s">
        <v>50</v>
      </c>
    </row>
    <row r="942" spans="1:12">
      <c r="A942" t="s">
        <v>2323</v>
      </c>
      <c r="B942" t="s">
        <v>374</v>
      </c>
      <c r="C942" t="s">
        <v>375</v>
      </c>
      <c r="D942" t="s">
        <v>365</v>
      </c>
      <c r="E942" t="s">
        <v>2324</v>
      </c>
      <c r="G942">
        <v>290032</v>
      </c>
      <c r="H942">
        <v>25733</v>
      </c>
      <c r="I942">
        <v>1.2</v>
      </c>
      <c r="J942">
        <v>90</v>
      </c>
      <c r="K942">
        <v>0</v>
      </c>
      <c r="L942" t="s">
        <v>50</v>
      </c>
    </row>
    <row r="943" spans="1:12">
      <c r="A943" t="s">
        <v>2325</v>
      </c>
      <c r="B943" t="s">
        <v>363</v>
      </c>
      <c r="C943" t="s">
        <v>375</v>
      </c>
      <c r="D943" t="s">
        <v>383</v>
      </c>
      <c r="E943" t="s">
        <v>1917</v>
      </c>
      <c r="F943" t="s">
        <v>2326</v>
      </c>
      <c r="G943">
        <v>97944</v>
      </c>
      <c r="H943">
        <v>0</v>
      </c>
      <c r="I943">
        <v>1.9</v>
      </c>
      <c r="J943">
        <v>71</v>
      </c>
      <c r="K943">
        <v>0</v>
      </c>
      <c r="L943" t="s">
        <v>50</v>
      </c>
    </row>
    <row r="944" spans="1:12">
      <c r="A944" t="s">
        <v>2327</v>
      </c>
      <c r="B944" t="s">
        <v>363</v>
      </c>
      <c r="C944" t="s">
        <v>364</v>
      </c>
      <c r="D944" t="s">
        <v>417</v>
      </c>
      <c r="E944" t="s">
        <v>2328</v>
      </c>
      <c r="G944">
        <v>218885</v>
      </c>
      <c r="H944">
        <v>0</v>
      </c>
      <c r="I944">
        <v>4.5999999999999996</v>
      </c>
      <c r="J944">
        <v>99</v>
      </c>
      <c r="K944">
        <v>0</v>
      </c>
      <c r="L944" t="s">
        <v>50</v>
      </c>
    </row>
    <row r="945" spans="1:12">
      <c r="A945" t="s">
        <v>2329</v>
      </c>
      <c r="B945" t="s">
        <v>363</v>
      </c>
      <c r="C945" t="s">
        <v>382</v>
      </c>
      <c r="D945" t="s">
        <v>387</v>
      </c>
      <c r="E945" t="s">
        <v>2330</v>
      </c>
      <c r="G945">
        <v>41138</v>
      </c>
      <c r="H945">
        <v>0</v>
      </c>
      <c r="I945">
        <v>1</v>
      </c>
      <c r="J945">
        <v>68</v>
      </c>
      <c r="K945">
        <v>0</v>
      </c>
      <c r="L945" t="s">
        <v>50</v>
      </c>
    </row>
    <row r="946" spans="1:12">
      <c r="A946" t="s">
        <v>2331</v>
      </c>
      <c r="B946" t="s">
        <v>363</v>
      </c>
      <c r="C946" t="s">
        <v>375</v>
      </c>
      <c r="D946" t="s">
        <v>417</v>
      </c>
      <c r="E946" t="s">
        <v>2332</v>
      </c>
      <c r="G946">
        <v>208210</v>
      </c>
      <c r="H946">
        <v>0</v>
      </c>
      <c r="I946">
        <v>3.1</v>
      </c>
      <c r="J946">
        <v>66</v>
      </c>
      <c r="K946">
        <v>3</v>
      </c>
      <c r="L946" t="s">
        <v>50</v>
      </c>
    </row>
    <row r="947" spans="1:12">
      <c r="A947" t="s">
        <v>2333</v>
      </c>
      <c r="B947" t="s">
        <v>368</v>
      </c>
      <c r="C947" t="s">
        <v>4</v>
      </c>
      <c r="D947" t="s">
        <v>369</v>
      </c>
      <c r="E947" t="s">
        <v>2334</v>
      </c>
      <c r="G947">
        <v>120291</v>
      </c>
      <c r="H947">
        <v>1997675</v>
      </c>
      <c r="I947">
        <v>1.8</v>
      </c>
      <c r="J947">
        <v>56</v>
      </c>
      <c r="K947">
        <v>0</v>
      </c>
      <c r="L947" t="s">
        <v>50</v>
      </c>
    </row>
    <row r="948" spans="1:12">
      <c r="A948" t="s">
        <v>2335</v>
      </c>
      <c r="B948" t="s">
        <v>363</v>
      </c>
      <c r="C948" t="s">
        <v>375</v>
      </c>
      <c r="D948" t="s">
        <v>383</v>
      </c>
      <c r="E948" t="s">
        <v>551</v>
      </c>
      <c r="G948">
        <v>143844</v>
      </c>
      <c r="H948">
        <v>35537</v>
      </c>
      <c r="I948">
        <v>4.7</v>
      </c>
      <c r="J948">
        <v>95</v>
      </c>
      <c r="K948">
        <v>2</v>
      </c>
      <c r="L948" t="s">
        <v>50</v>
      </c>
    </row>
    <row r="949" spans="1:12">
      <c r="A949" t="s">
        <v>2336</v>
      </c>
      <c r="B949" t="s">
        <v>374</v>
      </c>
      <c r="C949" t="s">
        <v>364</v>
      </c>
      <c r="D949" t="s">
        <v>417</v>
      </c>
      <c r="E949" t="s">
        <v>2337</v>
      </c>
      <c r="G949">
        <v>347350</v>
      </c>
      <c r="H949">
        <v>0</v>
      </c>
      <c r="I949">
        <v>2.9</v>
      </c>
      <c r="J949">
        <v>100</v>
      </c>
      <c r="K949">
        <v>0</v>
      </c>
      <c r="L949" t="s">
        <v>50</v>
      </c>
    </row>
    <row r="950" spans="1:12">
      <c r="A950" t="s">
        <v>2338</v>
      </c>
      <c r="B950" t="s">
        <v>368</v>
      </c>
      <c r="C950" t="s">
        <v>364</v>
      </c>
      <c r="D950" t="s">
        <v>387</v>
      </c>
      <c r="E950" t="s">
        <v>2179</v>
      </c>
      <c r="G950">
        <v>79113</v>
      </c>
      <c r="H950">
        <v>0</v>
      </c>
      <c r="I950">
        <v>4.5</v>
      </c>
      <c r="J950">
        <v>82</v>
      </c>
      <c r="K950">
        <v>0</v>
      </c>
      <c r="L950" t="s">
        <v>50</v>
      </c>
    </row>
    <row r="951" spans="1:12">
      <c r="A951" t="s">
        <v>2339</v>
      </c>
      <c r="B951" t="s">
        <v>363</v>
      </c>
      <c r="C951" t="s">
        <v>4</v>
      </c>
      <c r="D951" t="s">
        <v>387</v>
      </c>
      <c r="E951" t="s">
        <v>2340</v>
      </c>
      <c r="F951" t="s">
        <v>2341</v>
      </c>
      <c r="G951">
        <v>73145</v>
      </c>
      <c r="H951">
        <v>590575</v>
      </c>
      <c r="I951">
        <v>2</v>
      </c>
      <c r="J951">
        <v>84</v>
      </c>
      <c r="K951">
        <v>3</v>
      </c>
      <c r="L951" t="s">
        <v>50</v>
      </c>
    </row>
    <row r="952" spans="1:12">
      <c r="A952" t="s">
        <v>2342</v>
      </c>
      <c r="B952" t="s">
        <v>374</v>
      </c>
      <c r="C952" t="s">
        <v>375</v>
      </c>
      <c r="D952" t="s">
        <v>378</v>
      </c>
      <c r="E952" t="s">
        <v>2168</v>
      </c>
      <c r="G952">
        <v>494466</v>
      </c>
      <c r="H952">
        <v>10956</v>
      </c>
      <c r="I952">
        <v>4.2</v>
      </c>
      <c r="J952">
        <v>69</v>
      </c>
      <c r="K952">
        <v>1</v>
      </c>
      <c r="L952" t="s">
        <v>50</v>
      </c>
    </row>
    <row r="953" spans="1:12">
      <c r="A953" t="s">
        <v>2343</v>
      </c>
      <c r="B953" t="s">
        <v>363</v>
      </c>
      <c r="C953" t="s">
        <v>4</v>
      </c>
      <c r="D953" t="s">
        <v>437</v>
      </c>
      <c r="E953" t="s">
        <v>2344</v>
      </c>
      <c r="G953">
        <v>261726</v>
      </c>
      <c r="H953">
        <v>1388647</v>
      </c>
      <c r="I953">
        <v>2.6</v>
      </c>
      <c r="J953">
        <v>95</v>
      </c>
      <c r="K953">
        <v>1</v>
      </c>
      <c r="L953" t="s">
        <v>50</v>
      </c>
    </row>
    <row r="954" spans="1:12">
      <c r="A954" t="s">
        <v>2345</v>
      </c>
      <c r="B954" t="s">
        <v>368</v>
      </c>
      <c r="C954" t="s">
        <v>4</v>
      </c>
      <c r="D954" t="s">
        <v>417</v>
      </c>
      <c r="E954" t="s">
        <v>2346</v>
      </c>
      <c r="G954">
        <v>246275</v>
      </c>
      <c r="H954">
        <v>324308</v>
      </c>
      <c r="I954">
        <v>4.5</v>
      </c>
      <c r="J954">
        <v>58</v>
      </c>
      <c r="K954">
        <v>3</v>
      </c>
      <c r="L954" t="s">
        <v>50</v>
      </c>
    </row>
    <row r="955" spans="1:12">
      <c r="A955" t="s">
        <v>2347</v>
      </c>
      <c r="B955" t="s">
        <v>374</v>
      </c>
      <c r="C955" t="s">
        <v>375</v>
      </c>
      <c r="D955" t="s">
        <v>378</v>
      </c>
      <c r="E955" t="s">
        <v>2110</v>
      </c>
      <c r="G955">
        <v>288750</v>
      </c>
      <c r="H955">
        <v>0</v>
      </c>
      <c r="I955">
        <v>1.7</v>
      </c>
      <c r="J955">
        <v>55</v>
      </c>
      <c r="K955">
        <v>2</v>
      </c>
      <c r="L955" t="s">
        <v>50</v>
      </c>
    </row>
    <row r="956" spans="1:12">
      <c r="A956" t="s">
        <v>2348</v>
      </c>
      <c r="B956" t="s">
        <v>399</v>
      </c>
      <c r="C956" t="s">
        <v>382</v>
      </c>
      <c r="D956" t="s">
        <v>387</v>
      </c>
      <c r="E956" t="s">
        <v>2349</v>
      </c>
      <c r="G956">
        <v>55602</v>
      </c>
      <c r="H956">
        <v>0</v>
      </c>
      <c r="I956">
        <v>4.7</v>
      </c>
      <c r="J956">
        <v>79</v>
      </c>
      <c r="K956">
        <v>0</v>
      </c>
      <c r="L956" t="s">
        <v>50</v>
      </c>
    </row>
    <row r="957" spans="1:12">
      <c r="A957" t="s">
        <v>2350</v>
      </c>
      <c r="B957" t="s">
        <v>363</v>
      </c>
      <c r="C957" t="s">
        <v>364</v>
      </c>
      <c r="D957" t="s">
        <v>378</v>
      </c>
      <c r="E957" t="s">
        <v>2351</v>
      </c>
      <c r="G957">
        <v>445599</v>
      </c>
      <c r="H957">
        <v>33659</v>
      </c>
      <c r="I957">
        <v>1.1000000000000001</v>
      </c>
      <c r="J957">
        <v>82</v>
      </c>
      <c r="K957">
        <v>2</v>
      </c>
      <c r="L957" t="s">
        <v>50</v>
      </c>
    </row>
    <row r="958" spans="1:12">
      <c r="A958" t="s">
        <v>2352</v>
      </c>
      <c r="B958" t="s">
        <v>368</v>
      </c>
      <c r="C958" t="s">
        <v>364</v>
      </c>
      <c r="D958" t="s">
        <v>383</v>
      </c>
      <c r="E958" t="s">
        <v>2353</v>
      </c>
      <c r="F958" t="s">
        <v>2354</v>
      </c>
      <c r="G958">
        <v>149600</v>
      </c>
      <c r="H958">
        <v>0</v>
      </c>
      <c r="I958">
        <v>3.2</v>
      </c>
      <c r="J958">
        <v>43</v>
      </c>
      <c r="K958">
        <v>0</v>
      </c>
      <c r="L958" t="s">
        <v>50</v>
      </c>
    </row>
    <row r="959" spans="1:12">
      <c r="A959" t="s">
        <v>2355</v>
      </c>
      <c r="B959" t="s">
        <v>363</v>
      </c>
      <c r="C959" t="s">
        <v>364</v>
      </c>
      <c r="D959" t="s">
        <v>383</v>
      </c>
      <c r="E959" t="s">
        <v>2356</v>
      </c>
      <c r="G959">
        <v>124666</v>
      </c>
      <c r="H959">
        <v>0</v>
      </c>
      <c r="I959">
        <v>1.2</v>
      </c>
      <c r="J959">
        <v>85</v>
      </c>
      <c r="K959">
        <v>1</v>
      </c>
      <c r="L959" t="s">
        <v>50</v>
      </c>
    </row>
    <row r="960" spans="1:12">
      <c r="A960" t="s">
        <v>2357</v>
      </c>
      <c r="B960" t="s">
        <v>363</v>
      </c>
      <c r="C960" t="s">
        <v>375</v>
      </c>
      <c r="D960" t="s">
        <v>383</v>
      </c>
      <c r="E960" t="s">
        <v>2358</v>
      </c>
      <c r="G960">
        <v>117868</v>
      </c>
      <c r="H960">
        <v>0</v>
      </c>
      <c r="I960">
        <v>3.9</v>
      </c>
      <c r="J960">
        <v>86</v>
      </c>
      <c r="K960">
        <v>0</v>
      </c>
      <c r="L960" t="s">
        <v>50</v>
      </c>
    </row>
    <row r="961" spans="1:12">
      <c r="A961" t="s">
        <v>2359</v>
      </c>
      <c r="B961" t="s">
        <v>368</v>
      </c>
      <c r="C961" t="s">
        <v>382</v>
      </c>
      <c r="D961" t="s">
        <v>383</v>
      </c>
      <c r="E961" t="s">
        <v>2360</v>
      </c>
      <c r="G961">
        <v>139574</v>
      </c>
      <c r="H961">
        <v>0</v>
      </c>
      <c r="I961">
        <v>2.2000000000000002</v>
      </c>
      <c r="J961">
        <v>59</v>
      </c>
      <c r="K961">
        <v>3</v>
      </c>
      <c r="L961" t="s">
        <v>50</v>
      </c>
    </row>
    <row r="962" spans="1:12">
      <c r="A962" t="s">
        <v>2361</v>
      </c>
      <c r="B962" t="s">
        <v>374</v>
      </c>
      <c r="C962" t="s">
        <v>375</v>
      </c>
      <c r="D962" t="s">
        <v>437</v>
      </c>
      <c r="E962" t="s">
        <v>2362</v>
      </c>
      <c r="G962">
        <v>331572</v>
      </c>
      <c r="H962">
        <v>30481</v>
      </c>
      <c r="I962">
        <v>3.6</v>
      </c>
      <c r="J962">
        <v>48</v>
      </c>
      <c r="K962">
        <v>0</v>
      </c>
      <c r="L962" t="s">
        <v>50</v>
      </c>
    </row>
    <row r="963" spans="1:12">
      <c r="A963" t="s">
        <v>2363</v>
      </c>
      <c r="B963" t="s">
        <v>363</v>
      </c>
      <c r="C963" t="s">
        <v>375</v>
      </c>
      <c r="D963" t="s">
        <v>378</v>
      </c>
      <c r="E963" t="s">
        <v>2364</v>
      </c>
      <c r="G963">
        <v>383747</v>
      </c>
      <c r="H963">
        <v>21764</v>
      </c>
      <c r="I963">
        <v>1.4</v>
      </c>
      <c r="J963">
        <v>57</v>
      </c>
      <c r="K963">
        <v>3</v>
      </c>
      <c r="L963" t="s">
        <v>50</v>
      </c>
    </row>
    <row r="964" spans="1:12">
      <c r="A964" t="s">
        <v>2365</v>
      </c>
      <c r="B964" t="s">
        <v>363</v>
      </c>
      <c r="C964" t="s">
        <v>382</v>
      </c>
      <c r="D964" t="s">
        <v>378</v>
      </c>
      <c r="E964" t="s">
        <v>1727</v>
      </c>
      <c r="G964">
        <v>558656</v>
      </c>
      <c r="H964">
        <v>27295</v>
      </c>
      <c r="I964">
        <v>2.1</v>
      </c>
      <c r="J964">
        <v>65</v>
      </c>
      <c r="K964">
        <v>3</v>
      </c>
      <c r="L964" t="s">
        <v>50</v>
      </c>
    </row>
    <row r="965" spans="1:12">
      <c r="A965" t="s">
        <v>2366</v>
      </c>
      <c r="B965" t="s">
        <v>363</v>
      </c>
      <c r="C965" t="s">
        <v>4</v>
      </c>
      <c r="D965" t="s">
        <v>387</v>
      </c>
      <c r="E965" t="s">
        <v>2367</v>
      </c>
      <c r="F965" t="s">
        <v>2368</v>
      </c>
      <c r="G965">
        <v>61027</v>
      </c>
      <c r="H965">
        <v>840717</v>
      </c>
      <c r="I965">
        <v>2.2000000000000002</v>
      </c>
      <c r="J965">
        <v>62</v>
      </c>
      <c r="K965">
        <v>0</v>
      </c>
      <c r="L965" t="s">
        <v>50</v>
      </c>
    </row>
    <row r="966" spans="1:12">
      <c r="A966" t="s">
        <v>2369</v>
      </c>
      <c r="B966" t="s">
        <v>399</v>
      </c>
      <c r="C966" t="s">
        <v>375</v>
      </c>
      <c r="D966" t="s">
        <v>369</v>
      </c>
      <c r="E966" t="s">
        <v>2370</v>
      </c>
      <c r="G966">
        <v>142677</v>
      </c>
      <c r="H966">
        <v>0</v>
      </c>
      <c r="I966">
        <v>3.1</v>
      </c>
      <c r="J966">
        <v>73</v>
      </c>
      <c r="K966">
        <v>0</v>
      </c>
      <c r="L966" t="s">
        <v>50</v>
      </c>
    </row>
    <row r="967" spans="1:12">
      <c r="A967" t="s">
        <v>2371</v>
      </c>
      <c r="B967" t="s">
        <v>368</v>
      </c>
      <c r="C967" t="s">
        <v>375</v>
      </c>
      <c r="D967" t="s">
        <v>365</v>
      </c>
      <c r="E967" t="s">
        <v>2372</v>
      </c>
      <c r="G967">
        <v>215928</v>
      </c>
      <c r="H967">
        <v>0</v>
      </c>
      <c r="I967">
        <v>2.2000000000000002</v>
      </c>
      <c r="J967">
        <v>92</v>
      </c>
      <c r="K967">
        <v>3</v>
      </c>
      <c r="L967" t="s">
        <v>50</v>
      </c>
    </row>
    <row r="968" spans="1:12">
      <c r="A968" t="s">
        <v>2373</v>
      </c>
      <c r="B968" t="s">
        <v>399</v>
      </c>
      <c r="C968" t="s">
        <v>4</v>
      </c>
      <c r="D968" t="s">
        <v>369</v>
      </c>
      <c r="E968" t="s">
        <v>2374</v>
      </c>
      <c r="F968" t="s">
        <v>2375</v>
      </c>
      <c r="G968">
        <v>134175</v>
      </c>
      <c r="H968">
        <v>2462658</v>
      </c>
      <c r="I968">
        <v>2.4</v>
      </c>
      <c r="J968">
        <v>70</v>
      </c>
      <c r="K968">
        <v>0</v>
      </c>
      <c r="L968" t="s">
        <v>50</v>
      </c>
    </row>
    <row r="969" spans="1:12">
      <c r="A969" t="s">
        <v>2376</v>
      </c>
      <c r="B969" t="s">
        <v>374</v>
      </c>
      <c r="C969" t="s">
        <v>375</v>
      </c>
      <c r="D969" t="s">
        <v>437</v>
      </c>
      <c r="E969" t="s">
        <v>2377</v>
      </c>
      <c r="G969">
        <v>297822</v>
      </c>
      <c r="H969">
        <v>0</v>
      </c>
      <c r="I969">
        <v>3.4</v>
      </c>
      <c r="J969">
        <v>72</v>
      </c>
      <c r="K969">
        <v>2</v>
      </c>
      <c r="L969" t="s">
        <v>50</v>
      </c>
    </row>
    <row r="970" spans="1:12">
      <c r="A970" t="s">
        <v>2378</v>
      </c>
      <c r="B970" t="s">
        <v>374</v>
      </c>
      <c r="C970" t="s">
        <v>364</v>
      </c>
      <c r="D970" t="s">
        <v>437</v>
      </c>
      <c r="E970" t="s">
        <v>2379</v>
      </c>
      <c r="G970">
        <v>411318</v>
      </c>
      <c r="H970">
        <v>46342</v>
      </c>
      <c r="I970">
        <v>4</v>
      </c>
      <c r="J970">
        <v>60</v>
      </c>
      <c r="K970">
        <v>0</v>
      </c>
      <c r="L970" t="s">
        <v>50</v>
      </c>
    </row>
    <row r="971" spans="1:12">
      <c r="A971" t="s">
        <v>2380</v>
      </c>
      <c r="B971" t="s">
        <v>399</v>
      </c>
      <c r="C971" t="s">
        <v>382</v>
      </c>
      <c r="D971" t="s">
        <v>387</v>
      </c>
      <c r="E971" t="s">
        <v>2381</v>
      </c>
      <c r="G971">
        <v>45540</v>
      </c>
      <c r="H971">
        <v>0</v>
      </c>
      <c r="I971">
        <v>1.1000000000000001</v>
      </c>
      <c r="J971">
        <v>82</v>
      </c>
      <c r="K971">
        <v>1</v>
      </c>
      <c r="L971" t="s">
        <v>50</v>
      </c>
    </row>
    <row r="972" spans="1:12">
      <c r="A972" t="s">
        <v>2382</v>
      </c>
      <c r="B972" t="s">
        <v>363</v>
      </c>
      <c r="C972" t="s">
        <v>364</v>
      </c>
      <c r="D972" t="s">
        <v>417</v>
      </c>
      <c r="E972" t="s">
        <v>2383</v>
      </c>
      <c r="F972" t="s">
        <v>2384</v>
      </c>
      <c r="G972">
        <v>386970</v>
      </c>
      <c r="H972">
        <v>14944</v>
      </c>
      <c r="I972">
        <v>1.4</v>
      </c>
      <c r="J972">
        <v>84</v>
      </c>
      <c r="K972">
        <v>2</v>
      </c>
      <c r="L972" t="s">
        <v>50</v>
      </c>
    </row>
    <row r="973" spans="1:12">
      <c r="A973" t="s">
        <v>2385</v>
      </c>
      <c r="B973" t="s">
        <v>399</v>
      </c>
      <c r="C973" t="s">
        <v>382</v>
      </c>
      <c r="D973" t="s">
        <v>383</v>
      </c>
      <c r="E973" t="s">
        <v>2386</v>
      </c>
      <c r="G973">
        <v>102326</v>
      </c>
      <c r="H973">
        <v>20614</v>
      </c>
      <c r="I973">
        <v>2</v>
      </c>
      <c r="J973">
        <v>70</v>
      </c>
      <c r="K973">
        <v>0</v>
      </c>
      <c r="L973" t="s">
        <v>50</v>
      </c>
    </row>
    <row r="974" spans="1:12">
      <c r="A974" t="s">
        <v>2387</v>
      </c>
      <c r="B974" t="s">
        <v>363</v>
      </c>
      <c r="C974" t="s">
        <v>364</v>
      </c>
      <c r="D974" t="s">
        <v>437</v>
      </c>
      <c r="E974" t="s">
        <v>880</v>
      </c>
      <c r="G974">
        <v>461892</v>
      </c>
      <c r="H974">
        <v>0</v>
      </c>
      <c r="I974">
        <v>3.6</v>
      </c>
      <c r="J974">
        <v>55</v>
      </c>
      <c r="K974">
        <v>0</v>
      </c>
      <c r="L974" t="s">
        <v>50</v>
      </c>
    </row>
    <row r="975" spans="1:12">
      <c r="A975" t="s">
        <v>2388</v>
      </c>
      <c r="B975" t="s">
        <v>363</v>
      </c>
      <c r="C975" t="s">
        <v>4</v>
      </c>
      <c r="D975" t="s">
        <v>417</v>
      </c>
      <c r="E975" t="s">
        <v>2389</v>
      </c>
      <c r="F975" t="s">
        <v>2390</v>
      </c>
      <c r="G975">
        <v>343325</v>
      </c>
      <c r="H975">
        <v>839998</v>
      </c>
      <c r="I975">
        <v>3</v>
      </c>
      <c r="J975">
        <v>88</v>
      </c>
      <c r="K975">
        <v>0</v>
      </c>
      <c r="L975" t="s">
        <v>50</v>
      </c>
    </row>
    <row r="976" spans="1:12">
      <c r="A976" t="s">
        <v>2391</v>
      </c>
      <c r="B976" t="s">
        <v>399</v>
      </c>
      <c r="C976" t="s">
        <v>375</v>
      </c>
      <c r="D976" t="s">
        <v>387</v>
      </c>
      <c r="E976" t="s">
        <v>701</v>
      </c>
      <c r="G976">
        <v>76105</v>
      </c>
      <c r="H976">
        <v>0</v>
      </c>
      <c r="I976">
        <v>1.1000000000000001</v>
      </c>
      <c r="J976">
        <v>55</v>
      </c>
      <c r="K976">
        <v>1</v>
      </c>
      <c r="L976" t="s">
        <v>93</v>
      </c>
    </row>
    <row r="977" spans="1:12">
      <c r="A977" t="s">
        <v>2392</v>
      </c>
      <c r="B977" t="s">
        <v>399</v>
      </c>
      <c r="C977" t="s">
        <v>364</v>
      </c>
      <c r="D977" t="s">
        <v>387</v>
      </c>
      <c r="E977" t="s">
        <v>1447</v>
      </c>
      <c r="G977">
        <v>71795</v>
      </c>
      <c r="H977">
        <v>0</v>
      </c>
      <c r="I977">
        <v>4.4000000000000004</v>
      </c>
      <c r="J977">
        <v>85</v>
      </c>
      <c r="K977">
        <v>0</v>
      </c>
      <c r="L977" t="s">
        <v>50</v>
      </c>
    </row>
    <row r="978" spans="1:12">
      <c r="A978" t="s">
        <v>2393</v>
      </c>
      <c r="B978" t="s">
        <v>399</v>
      </c>
      <c r="C978" t="s">
        <v>382</v>
      </c>
      <c r="D978" t="s">
        <v>437</v>
      </c>
      <c r="E978" t="s">
        <v>2394</v>
      </c>
      <c r="G978">
        <v>365490</v>
      </c>
      <c r="H978">
        <v>0</v>
      </c>
      <c r="I978">
        <v>4</v>
      </c>
      <c r="J978">
        <v>65</v>
      </c>
      <c r="K978">
        <v>3</v>
      </c>
      <c r="L978" t="s">
        <v>50</v>
      </c>
    </row>
    <row r="979" spans="1:12">
      <c r="A979" t="s">
        <v>2395</v>
      </c>
      <c r="B979" t="s">
        <v>363</v>
      </c>
      <c r="C979" t="s">
        <v>4</v>
      </c>
      <c r="D979" t="s">
        <v>369</v>
      </c>
      <c r="E979" t="s">
        <v>1605</v>
      </c>
      <c r="G979">
        <v>182781</v>
      </c>
      <c r="H979">
        <v>835372</v>
      </c>
      <c r="I979">
        <v>3.6</v>
      </c>
      <c r="J979">
        <v>76</v>
      </c>
      <c r="K979">
        <v>0</v>
      </c>
      <c r="L979" t="s">
        <v>93</v>
      </c>
    </row>
    <row r="980" spans="1:12">
      <c r="A980" t="s">
        <v>2396</v>
      </c>
      <c r="B980" t="s">
        <v>368</v>
      </c>
      <c r="C980" t="s">
        <v>364</v>
      </c>
      <c r="D980" t="s">
        <v>417</v>
      </c>
      <c r="E980" t="s">
        <v>2397</v>
      </c>
      <c r="G980">
        <v>358910</v>
      </c>
      <c r="H980">
        <v>46043</v>
      </c>
      <c r="I980">
        <v>3.4</v>
      </c>
      <c r="J980">
        <v>62</v>
      </c>
      <c r="K980">
        <v>2</v>
      </c>
      <c r="L980" t="s">
        <v>50</v>
      </c>
    </row>
    <row r="981" spans="1:12">
      <c r="A981" t="s">
        <v>2398</v>
      </c>
      <c r="B981" t="s">
        <v>374</v>
      </c>
      <c r="C981" t="s">
        <v>375</v>
      </c>
      <c r="D981" t="s">
        <v>365</v>
      </c>
      <c r="E981" t="s">
        <v>2399</v>
      </c>
      <c r="G981">
        <v>199916</v>
      </c>
      <c r="H981">
        <v>0</v>
      </c>
      <c r="I981">
        <v>1.6</v>
      </c>
      <c r="J981">
        <v>69</v>
      </c>
      <c r="K981">
        <v>0</v>
      </c>
      <c r="L981" t="s">
        <v>50</v>
      </c>
    </row>
    <row r="982" spans="1:12">
      <c r="A982" t="s">
        <v>2400</v>
      </c>
      <c r="B982" t="s">
        <v>399</v>
      </c>
      <c r="C982" t="s">
        <v>382</v>
      </c>
      <c r="D982" t="s">
        <v>383</v>
      </c>
      <c r="E982" t="s">
        <v>2401</v>
      </c>
      <c r="G982">
        <v>80986</v>
      </c>
      <c r="H982">
        <v>0</v>
      </c>
      <c r="I982">
        <v>3.2</v>
      </c>
      <c r="J982">
        <v>95</v>
      </c>
      <c r="K982">
        <v>0</v>
      </c>
      <c r="L982" t="s">
        <v>50</v>
      </c>
    </row>
    <row r="983" spans="1:12">
      <c r="A983" t="s">
        <v>2402</v>
      </c>
      <c r="B983" t="s">
        <v>363</v>
      </c>
      <c r="C983" t="s">
        <v>4</v>
      </c>
      <c r="D983" t="s">
        <v>369</v>
      </c>
      <c r="E983" t="s">
        <v>2403</v>
      </c>
      <c r="G983">
        <v>159369</v>
      </c>
      <c r="H983">
        <v>1125049</v>
      </c>
      <c r="I983">
        <v>4.0999999999999996</v>
      </c>
      <c r="J983">
        <v>96</v>
      </c>
      <c r="K983">
        <v>3</v>
      </c>
      <c r="L983" t="s">
        <v>50</v>
      </c>
    </row>
    <row r="984" spans="1:12">
      <c r="A984" t="s">
        <v>2404</v>
      </c>
      <c r="B984" t="s">
        <v>363</v>
      </c>
      <c r="C984" t="s">
        <v>382</v>
      </c>
      <c r="D984" t="s">
        <v>383</v>
      </c>
      <c r="E984" t="s">
        <v>2405</v>
      </c>
      <c r="G984">
        <v>139912</v>
      </c>
      <c r="H984">
        <v>0</v>
      </c>
      <c r="I984">
        <v>1.6</v>
      </c>
      <c r="J984">
        <v>94</v>
      </c>
      <c r="K984">
        <v>1</v>
      </c>
      <c r="L984" t="s">
        <v>50</v>
      </c>
    </row>
    <row r="985" spans="1:12">
      <c r="A985" t="s">
        <v>2406</v>
      </c>
      <c r="B985" t="s">
        <v>363</v>
      </c>
      <c r="C985" t="s">
        <v>375</v>
      </c>
      <c r="D985" t="s">
        <v>383</v>
      </c>
      <c r="E985" t="s">
        <v>1119</v>
      </c>
      <c r="G985">
        <v>149614</v>
      </c>
      <c r="H985">
        <v>0</v>
      </c>
      <c r="I985">
        <v>1.5</v>
      </c>
      <c r="J985">
        <v>51</v>
      </c>
      <c r="K985">
        <v>2</v>
      </c>
      <c r="L985" t="s">
        <v>50</v>
      </c>
    </row>
    <row r="986" spans="1:12">
      <c r="A986" t="s">
        <v>2407</v>
      </c>
      <c r="B986" t="s">
        <v>363</v>
      </c>
      <c r="C986" t="s">
        <v>382</v>
      </c>
      <c r="D986" t="s">
        <v>369</v>
      </c>
      <c r="E986" t="s">
        <v>2408</v>
      </c>
      <c r="G986">
        <v>177921</v>
      </c>
      <c r="H986">
        <v>0</v>
      </c>
      <c r="I986">
        <v>4.4000000000000004</v>
      </c>
      <c r="J986">
        <v>63</v>
      </c>
      <c r="K986">
        <v>0</v>
      </c>
      <c r="L986" t="s">
        <v>50</v>
      </c>
    </row>
    <row r="987" spans="1:12">
      <c r="A987" t="s">
        <v>2409</v>
      </c>
      <c r="B987" t="s">
        <v>399</v>
      </c>
      <c r="C987" t="s">
        <v>375</v>
      </c>
      <c r="D987" t="s">
        <v>365</v>
      </c>
      <c r="E987" t="s">
        <v>2410</v>
      </c>
      <c r="G987">
        <v>255580</v>
      </c>
      <c r="H987">
        <v>15232</v>
      </c>
      <c r="I987">
        <v>2.1</v>
      </c>
      <c r="J987">
        <v>96</v>
      </c>
      <c r="K987">
        <v>0</v>
      </c>
      <c r="L987" t="s">
        <v>50</v>
      </c>
    </row>
    <row r="988" spans="1:12">
      <c r="A988" t="s">
        <v>2411</v>
      </c>
      <c r="B988" t="s">
        <v>399</v>
      </c>
      <c r="C988" t="s">
        <v>382</v>
      </c>
      <c r="D988" t="s">
        <v>369</v>
      </c>
      <c r="E988" t="s">
        <v>1089</v>
      </c>
      <c r="G988">
        <v>196437</v>
      </c>
      <c r="H988">
        <v>0</v>
      </c>
      <c r="I988">
        <v>4.2</v>
      </c>
      <c r="J988">
        <v>76</v>
      </c>
      <c r="K988">
        <v>0</v>
      </c>
      <c r="L988" t="s">
        <v>50</v>
      </c>
    </row>
    <row r="989" spans="1:12">
      <c r="A989" t="s">
        <v>2412</v>
      </c>
      <c r="B989" t="s">
        <v>363</v>
      </c>
      <c r="C989" t="s">
        <v>382</v>
      </c>
      <c r="D989" t="s">
        <v>365</v>
      </c>
      <c r="E989" t="s">
        <v>2413</v>
      </c>
      <c r="G989">
        <v>294640</v>
      </c>
      <c r="H989">
        <v>0</v>
      </c>
      <c r="I989">
        <v>4</v>
      </c>
      <c r="J989">
        <v>65</v>
      </c>
      <c r="K989">
        <v>0</v>
      </c>
      <c r="L989" t="s">
        <v>50</v>
      </c>
    </row>
    <row r="990" spans="1:12">
      <c r="A990" t="s">
        <v>2414</v>
      </c>
      <c r="B990" t="s">
        <v>374</v>
      </c>
      <c r="C990" t="s">
        <v>4</v>
      </c>
      <c r="D990" t="s">
        <v>365</v>
      </c>
      <c r="E990" t="s">
        <v>2415</v>
      </c>
      <c r="G990">
        <v>250860</v>
      </c>
      <c r="H990">
        <v>966115</v>
      </c>
      <c r="I990">
        <v>2.2999999999999998</v>
      </c>
      <c r="J990">
        <v>69</v>
      </c>
      <c r="K990">
        <v>0</v>
      </c>
      <c r="L990" t="s">
        <v>50</v>
      </c>
    </row>
    <row r="991" spans="1:12">
      <c r="A991" t="s">
        <v>2416</v>
      </c>
      <c r="B991" t="s">
        <v>368</v>
      </c>
      <c r="C991" t="s">
        <v>364</v>
      </c>
      <c r="D991" t="s">
        <v>383</v>
      </c>
      <c r="E991" t="s">
        <v>643</v>
      </c>
      <c r="F991" t="s">
        <v>2417</v>
      </c>
      <c r="G991">
        <v>159784</v>
      </c>
      <c r="H991">
        <v>0</v>
      </c>
      <c r="I991">
        <v>2.5</v>
      </c>
      <c r="J991">
        <v>73</v>
      </c>
      <c r="K991">
        <v>2</v>
      </c>
      <c r="L991" t="s">
        <v>50</v>
      </c>
    </row>
    <row r="992" spans="1:12">
      <c r="A992" t="s">
        <v>2418</v>
      </c>
      <c r="B992" t="s">
        <v>363</v>
      </c>
      <c r="C992" t="s">
        <v>364</v>
      </c>
      <c r="D992" t="s">
        <v>383</v>
      </c>
      <c r="E992" t="s">
        <v>2419</v>
      </c>
      <c r="G992">
        <v>93090</v>
      </c>
      <c r="H992">
        <v>0</v>
      </c>
      <c r="I992">
        <v>2</v>
      </c>
      <c r="J992">
        <v>96</v>
      </c>
      <c r="K992">
        <v>0</v>
      </c>
      <c r="L992" t="s">
        <v>50</v>
      </c>
    </row>
    <row r="993" spans="1:12">
      <c r="A993" t="s">
        <v>2420</v>
      </c>
      <c r="B993" t="s">
        <v>363</v>
      </c>
      <c r="C993" t="s">
        <v>4</v>
      </c>
      <c r="D993" t="s">
        <v>365</v>
      </c>
      <c r="E993" t="s">
        <v>2421</v>
      </c>
      <c r="G993">
        <v>256608</v>
      </c>
      <c r="H993">
        <v>1909596</v>
      </c>
      <c r="I993">
        <v>4.8</v>
      </c>
      <c r="J993">
        <v>100</v>
      </c>
      <c r="K993">
        <v>0</v>
      </c>
      <c r="L993" t="s">
        <v>93</v>
      </c>
    </row>
    <row r="994" spans="1:12">
      <c r="A994" t="s">
        <v>2422</v>
      </c>
      <c r="B994" t="s">
        <v>399</v>
      </c>
      <c r="C994" t="s">
        <v>375</v>
      </c>
      <c r="D994" t="s">
        <v>369</v>
      </c>
      <c r="E994" t="s">
        <v>876</v>
      </c>
      <c r="G994">
        <v>192798</v>
      </c>
      <c r="H994">
        <v>0</v>
      </c>
      <c r="I994">
        <v>4.5</v>
      </c>
      <c r="J994">
        <v>84</v>
      </c>
      <c r="K994">
        <v>0</v>
      </c>
      <c r="L994" t="s">
        <v>50</v>
      </c>
    </row>
    <row r="995" spans="1:12">
      <c r="A995" t="s">
        <v>2423</v>
      </c>
      <c r="B995" t="s">
        <v>399</v>
      </c>
      <c r="C995" t="s">
        <v>375</v>
      </c>
      <c r="D995" t="s">
        <v>383</v>
      </c>
      <c r="E995" t="s">
        <v>2424</v>
      </c>
      <c r="F995" t="s">
        <v>2425</v>
      </c>
      <c r="G995">
        <v>103164</v>
      </c>
      <c r="H995">
        <v>0</v>
      </c>
      <c r="I995">
        <v>2.8</v>
      </c>
      <c r="J995">
        <v>49</v>
      </c>
      <c r="K995">
        <v>0</v>
      </c>
      <c r="L995" t="s">
        <v>50</v>
      </c>
    </row>
    <row r="996" spans="1:12">
      <c r="A996" t="s">
        <v>2426</v>
      </c>
      <c r="B996" t="s">
        <v>368</v>
      </c>
      <c r="C996" t="s">
        <v>364</v>
      </c>
      <c r="D996" t="s">
        <v>365</v>
      </c>
      <c r="E996" t="s">
        <v>597</v>
      </c>
      <c r="G996">
        <v>290320</v>
      </c>
      <c r="H996">
        <v>37414</v>
      </c>
      <c r="I996">
        <v>3.5</v>
      </c>
      <c r="J996">
        <v>77</v>
      </c>
      <c r="K996">
        <v>0</v>
      </c>
      <c r="L996" t="s">
        <v>50</v>
      </c>
    </row>
    <row r="997" spans="1:12">
      <c r="A997" t="s">
        <v>2427</v>
      </c>
      <c r="B997" t="s">
        <v>363</v>
      </c>
      <c r="C997" t="s">
        <v>4</v>
      </c>
      <c r="D997" t="s">
        <v>369</v>
      </c>
      <c r="E997" t="s">
        <v>2428</v>
      </c>
      <c r="G997">
        <v>155175</v>
      </c>
      <c r="H997">
        <v>1060058</v>
      </c>
      <c r="I997">
        <v>1</v>
      </c>
      <c r="J997">
        <v>95</v>
      </c>
      <c r="K997">
        <v>1</v>
      </c>
      <c r="L997" t="s">
        <v>50</v>
      </c>
    </row>
    <row r="998" spans="1:12">
      <c r="A998" t="s">
        <v>2429</v>
      </c>
      <c r="B998" t="s">
        <v>363</v>
      </c>
      <c r="C998" t="s">
        <v>364</v>
      </c>
      <c r="D998" t="s">
        <v>383</v>
      </c>
      <c r="E998" t="s">
        <v>1777</v>
      </c>
      <c r="G998">
        <v>152132</v>
      </c>
      <c r="H998">
        <v>0</v>
      </c>
      <c r="I998">
        <v>4.7</v>
      </c>
      <c r="J998">
        <v>70</v>
      </c>
      <c r="K998">
        <v>1</v>
      </c>
      <c r="L998" t="s">
        <v>50</v>
      </c>
    </row>
    <row r="999" spans="1:12">
      <c r="A999" t="s">
        <v>2430</v>
      </c>
      <c r="B999" t="s">
        <v>368</v>
      </c>
      <c r="C999" t="s">
        <v>364</v>
      </c>
      <c r="D999" t="s">
        <v>383</v>
      </c>
      <c r="E999" t="s">
        <v>2431</v>
      </c>
      <c r="G999">
        <v>138458</v>
      </c>
      <c r="H999">
        <v>0</v>
      </c>
      <c r="I999">
        <v>4.8</v>
      </c>
      <c r="J999">
        <v>59</v>
      </c>
      <c r="K999">
        <v>0</v>
      </c>
      <c r="L999" t="s">
        <v>50</v>
      </c>
    </row>
    <row r="1000" spans="1:12">
      <c r="A1000" t="s">
        <v>2432</v>
      </c>
      <c r="B1000" t="s">
        <v>368</v>
      </c>
      <c r="C1000" t="s">
        <v>4</v>
      </c>
      <c r="D1000" t="s">
        <v>369</v>
      </c>
      <c r="E1000" t="s">
        <v>2433</v>
      </c>
      <c r="F1000" t="s">
        <v>2434</v>
      </c>
      <c r="G1000">
        <v>183348</v>
      </c>
      <c r="H1000">
        <v>1433008</v>
      </c>
      <c r="I1000">
        <v>3.4</v>
      </c>
      <c r="J1000">
        <v>95</v>
      </c>
      <c r="K1000">
        <v>0</v>
      </c>
      <c r="L1000" t="s">
        <v>50</v>
      </c>
    </row>
    <row r="1001" spans="1:12">
      <c r="A1001" t="s">
        <v>2435</v>
      </c>
      <c r="B1001" t="s">
        <v>363</v>
      </c>
      <c r="C1001" t="s">
        <v>382</v>
      </c>
      <c r="D1001" t="s">
        <v>417</v>
      </c>
      <c r="E1001" t="s">
        <v>1756</v>
      </c>
      <c r="F1001" t="s">
        <v>2436</v>
      </c>
      <c r="G1001">
        <v>236020</v>
      </c>
      <c r="H1001">
        <v>0</v>
      </c>
      <c r="I1001">
        <v>2.6</v>
      </c>
      <c r="J1001">
        <v>40</v>
      </c>
      <c r="K1001">
        <v>1</v>
      </c>
      <c r="L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IF_Function</vt:lpstr>
      <vt:lpstr>Nested_IF</vt:lpstr>
      <vt:lpstr>IF_AND_OR</vt:lpstr>
      <vt:lpstr>IFS_Function</vt:lpstr>
      <vt:lpstr>IFERROR</vt:lpstr>
      <vt:lpstr>Practice 1</vt:lpstr>
      <vt:lpstr>Practice 2</vt:lpstr>
      <vt:lpstr>Practice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junction pc</dc:creator>
  <cp:lastModifiedBy>Lalchand Sahu</cp:lastModifiedBy>
  <dcterms:created xsi:type="dcterms:W3CDTF">2025-06-18T01:38:23Z</dcterms:created>
  <dcterms:modified xsi:type="dcterms:W3CDTF">2026-07-17T05:51:35Z</dcterms:modified>
</cp:coreProperties>
</file>